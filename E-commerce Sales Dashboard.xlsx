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drawings/drawing3.xml" ContentType="application/vnd.openxmlformats-officedocument.drawingml.chartshapes+xml"/>
  <Override PartName="/xl/charts/chartEx3.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hidePivotFieldList="1"/>
  <mc:AlternateContent xmlns:mc="http://schemas.openxmlformats.org/markup-compatibility/2006">
    <mc:Choice Requires="x15">
      <x15ac:absPath xmlns:x15ac="http://schemas.microsoft.com/office/spreadsheetml/2010/11/ac" url="C:\Users\THINKPAD\Documents\Data Analytics Project\First Project_India_E-commerce sales\"/>
    </mc:Choice>
  </mc:AlternateContent>
  <xr:revisionPtr revIDLastSave="0" documentId="13_ncr:1_{958842B5-BD6C-4276-87DC-00D146EABA1E}" xr6:coauthVersionLast="47" xr6:coauthVersionMax="47" xr10:uidLastSave="{00000000-0000-0000-0000-000000000000}"/>
  <bookViews>
    <workbookView xWindow="-110" yWindow="-110" windowWidth="19420" windowHeight="10300" activeTab="3" xr2:uid="{00000000-000D-0000-FFFF-FFFF00000000}"/>
  </bookViews>
  <sheets>
    <sheet name="Tables" sheetId="1" r:id="rId1"/>
    <sheet name="Order Details" sheetId="4" r:id="rId2"/>
    <sheet name="Pivot" sheetId="2" r:id="rId3"/>
    <sheet name="Dashboard" sheetId="3" r:id="rId4"/>
  </sheets>
  <definedNames>
    <definedName name="_xlchart.v1.0" hidden="1">Pivot!$D$56:$D$65</definedName>
    <definedName name="_xlchart.v1.1" hidden="1">Pivot!$E$55</definedName>
    <definedName name="_xlchart.v1.2" hidden="1">Pivot!$E$56:$E$65</definedName>
    <definedName name="_xlchart.v1.7" hidden="1">Pivot!$D$107:$D$111</definedName>
    <definedName name="_xlchart.v1.8" hidden="1">Pivot!$E$106</definedName>
    <definedName name="_xlchart.v1.9" hidden="1">Pivot!$E$107:$E$111</definedName>
    <definedName name="_xlchart.v5.3" hidden="1">Pivot!$D$32</definedName>
    <definedName name="_xlchart.v5.4" hidden="1">Pivot!$D$33:$D$51</definedName>
    <definedName name="_xlchart.v5.5" hidden="1">Pivot!$E$32</definedName>
    <definedName name="_xlchart.v5.6" hidden="1">Pivot!$E$33:$E$51</definedName>
    <definedName name="ExternalData_1" localSheetId="0" hidden="1">Tables!$A$3:$K$503</definedName>
    <definedName name="ExternalData_2" localSheetId="1" hidden="1">'Order Details'!$B$3:$G$1503</definedName>
    <definedName name="Slicer_Category">#N/A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s>
  <extLst>
    <ext xmlns:x14="http://schemas.microsoft.com/office/spreadsheetml/2009/9/main" uri="{876F7934-8845-4945-9796-88D515C7AA90}">
      <x14:pivotCaches>
        <pivotCache cacheId="13"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List_of_order_7e27a494-3067-4d33-9b83-3e7ce652285a" name="List_of_order" connection="Query - List_of_order"/>
          <x15:modelTable id="Order_Details_a962d324-7144-4459-823e-260a162b4789" name="Order_Details" connection="Query - Order_Details"/>
        </x15:modelTables>
        <x15:modelRelationships>
          <x15:modelRelationship fromTable="Order_Details" fromColumn="Order ID" toTable="List_of_order" toColumn="Order ID"/>
        </x15:modelRelationships>
        <x15:extLst>
          <ext xmlns:x16="http://schemas.microsoft.com/office/spreadsheetml/2014/11/main" uri="{9835A34E-60A6-4A7C-AAB8-D5F71C897F49}">
            <x16:modelTimeGroupings>
              <x16:modelTimeGrouping tableName="List_of_order"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7" i="2" l="1" a="1"/>
  <c r="D107" i="2" s="1"/>
  <c r="D56" i="2" a="1"/>
  <c r="D56" i="2" s="1"/>
  <c r="D33" i="2" a="1"/>
  <c r="D33"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DEBA0D-7B1D-4DCC-B158-70D91B70D5DE}" keepAlive="1" name="ModelConnection_ExternalData_1" description="Data Model" type="5" refreshedVersion="8" minRefreshableVersion="5" saveData="1">
    <dbPr connection="Data Model Connection" command="List_of_order" commandType="3"/>
    <extLst>
      <ext xmlns:x15="http://schemas.microsoft.com/office/spreadsheetml/2010/11/main" uri="{DE250136-89BD-433C-8126-D09CA5730AF9}">
        <x15:connection id="" model="1"/>
      </ext>
    </extLst>
  </connection>
  <connection id="2" xr16:uid="{7EA15BDF-118B-4075-9BEE-912FE5C8BF89}" keepAlive="1" name="ModelConnection_ExternalData_2" description="Data Model" type="5" refreshedVersion="8" minRefreshableVersion="5" saveData="1">
    <dbPr connection="Data Model Connection" command="Order_Details" commandType="3"/>
    <extLst>
      <ext xmlns:x15="http://schemas.microsoft.com/office/spreadsheetml/2010/11/main" uri="{DE250136-89BD-433C-8126-D09CA5730AF9}">
        <x15:connection id="" model="1"/>
      </ext>
    </extLst>
  </connection>
  <connection id="3" xr16:uid="{631691A8-198B-4970-9115-C336328E4C04}" name="Query - List_of_order" description="Connection to the 'List_of_order' query in the workbook." type="100" refreshedVersion="8" minRefreshableVersion="5">
    <extLst>
      <ext xmlns:x15="http://schemas.microsoft.com/office/spreadsheetml/2010/11/main" uri="{DE250136-89BD-433C-8126-D09CA5730AF9}">
        <x15:connection id="eddeee0e-8796-4f57-aa47-3c9955ece8e1"/>
      </ext>
    </extLst>
  </connection>
  <connection id="4" xr16:uid="{F56556BA-1684-4F2E-A356-113178B8059C}" name="Query - Order_Details" description="Connection to the 'Order_Details' query in the workbook." type="100" refreshedVersion="8" minRefreshableVersion="5">
    <extLst>
      <ext xmlns:x15="http://schemas.microsoft.com/office/spreadsheetml/2010/11/main" uri="{DE250136-89BD-433C-8126-D09CA5730AF9}">
        <x15:connection id="736cb12e-d961-42ec-9aca-6d85ce724b34"/>
      </ext>
    </extLst>
  </connection>
  <connection id="5" xr16:uid="{1BEFD7CB-6B3B-41AD-ACA1-AC0BD534720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<sst xmlns="http://schemas.openxmlformats.org/spreadsheetml/2006/main" count="9271" uniqueCount="953">
  <si>
    <t>Order ID</t>
  </si>
  <si>
    <t>Order Date</t>
  </si>
  <si>
    <t>CustomerName</t>
  </si>
  <si>
    <t>State</t>
  </si>
  <si>
    <t>City</t>
  </si>
  <si>
    <t>B-25627</t>
  </si>
  <si>
    <t>Hitika</t>
  </si>
  <si>
    <t>Madhya Pradesh</t>
  </si>
  <si>
    <t>Indore</t>
  </si>
  <si>
    <t>B-25637</t>
  </si>
  <si>
    <t>Ashmi</t>
  </si>
  <si>
    <t>B-25645</t>
  </si>
  <si>
    <t>Yaanvi</t>
  </si>
  <si>
    <t>B-25651</t>
  </si>
  <si>
    <t>Anurag</t>
  </si>
  <si>
    <t>B-25655</t>
  </si>
  <si>
    <t>Nida</t>
  </si>
  <si>
    <t>B-25663</t>
  </si>
  <si>
    <t>Pournamasi</t>
  </si>
  <si>
    <t>B-25680</t>
  </si>
  <si>
    <t>Aayushi</t>
  </si>
  <si>
    <t>B-25681</t>
  </si>
  <si>
    <t>Bhawna</t>
  </si>
  <si>
    <t>B-25685</t>
  </si>
  <si>
    <t>Sheetal</t>
  </si>
  <si>
    <t>B-25688</t>
  </si>
  <si>
    <t>Swetha</t>
  </si>
  <si>
    <t>B-25690</t>
  </si>
  <si>
    <t>Gunjan</t>
  </si>
  <si>
    <t>B-25692</t>
  </si>
  <si>
    <t>Rashmi</t>
  </si>
  <si>
    <t>B-25701</t>
  </si>
  <si>
    <t>Maithilee</t>
  </si>
  <si>
    <t>B-25703</t>
  </si>
  <si>
    <t>Ekta</t>
  </si>
  <si>
    <t>B-25705</t>
  </si>
  <si>
    <t>Shweta</t>
  </si>
  <si>
    <t>B-25708</t>
  </si>
  <si>
    <t>Kishwar</t>
  </si>
  <si>
    <t>B-25709</t>
  </si>
  <si>
    <t>Aakanksha</t>
  </si>
  <si>
    <t>B-25719</t>
  </si>
  <si>
    <t>B-25724</t>
  </si>
  <si>
    <t>B-25727</t>
  </si>
  <si>
    <t>Turumella</t>
  </si>
  <si>
    <t>B-25734</t>
  </si>
  <si>
    <t>Pranav</t>
  </si>
  <si>
    <t>B-25737</t>
  </si>
  <si>
    <t>Shubham</t>
  </si>
  <si>
    <t>B-25741</t>
  </si>
  <si>
    <t>Navdeep</t>
  </si>
  <si>
    <t>B-25750</t>
  </si>
  <si>
    <t>Priyanshu</t>
  </si>
  <si>
    <t>B-25752</t>
  </si>
  <si>
    <t>Vaibhav</t>
  </si>
  <si>
    <t>B-25757</t>
  </si>
  <si>
    <t>Mohit</t>
  </si>
  <si>
    <t>B-25762</t>
  </si>
  <si>
    <t>Anudeep</t>
  </si>
  <si>
    <t>B-25770</t>
  </si>
  <si>
    <t>Sakshi</t>
  </si>
  <si>
    <t>B-25777</t>
  </si>
  <si>
    <t>Aditi</t>
  </si>
  <si>
    <t>B-25779</t>
  </si>
  <si>
    <t>Savi</t>
  </si>
  <si>
    <t>B-25783</t>
  </si>
  <si>
    <t>Shivangi</t>
  </si>
  <si>
    <t>B-25793</t>
  </si>
  <si>
    <t>Siddharth</t>
  </si>
  <si>
    <t>B-25797</t>
  </si>
  <si>
    <t>Sauptik</t>
  </si>
  <si>
    <t>B-25803</t>
  </si>
  <si>
    <t>Shivanshu</t>
  </si>
  <si>
    <t>B-25806</t>
  </si>
  <si>
    <t>Dhanraj</t>
  </si>
  <si>
    <t>B-25812</t>
  </si>
  <si>
    <t>Kshitij</t>
  </si>
  <si>
    <t>B-25814</t>
  </si>
  <si>
    <t>Swapnil</t>
  </si>
  <si>
    <t>B-25818</t>
  </si>
  <si>
    <t>Sandeep</t>
  </si>
  <si>
    <t>B-25824</t>
  </si>
  <si>
    <t>Shyam</t>
  </si>
  <si>
    <t>B-25825</t>
  </si>
  <si>
    <t>Kartik</t>
  </si>
  <si>
    <t>B-25827</t>
  </si>
  <si>
    <t>B-25833</t>
  </si>
  <si>
    <t>Krishna</t>
  </si>
  <si>
    <t>B-25838</t>
  </si>
  <si>
    <t>Sanjana</t>
  </si>
  <si>
    <t>B-25842</t>
  </si>
  <si>
    <t>B-25844</t>
  </si>
  <si>
    <t>Swati</t>
  </si>
  <si>
    <t>B-25857</t>
  </si>
  <si>
    <t>Anand</t>
  </si>
  <si>
    <t>B-25859</t>
  </si>
  <si>
    <t>Chikku</t>
  </si>
  <si>
    <t>B-25865</t>
  </si>
  <si>
    <t>Arun</t>
  </si>
  <si>
    <t>B-25873</t>
  </si>
  <si>
    <t>Divyeta</t>
  </si>
  <si>
    <t>B-25879</t>
  </si>
  <si>
    <t>B-25885</t>
  </si>
  <si>
    <t>Shatayu</t>
  </si>
  <si>
    <t>B-25891</t>
  </si>
  <si>
    <t>Shivani</t>
  </si>
  <si>
    <t>B-25897</t>
  </si>
  <si>
    <t>Rohan</t>
  </si>
  <si>
    <t>B-25903</t>
  </si>
  <si>
    <t>Amlan</t>
  </si>
  <si>
    <t>B-25918</t>
  </si>
  <si>
    <t>Karandeep</t>
  </si>
  <si>
    <t>B-25926</t>
  </si>
  <si>
    <t>Dipali</t>
  </si>
  <si>
    <t>B-25932</t>
  </si>
  <si>
    <t>Bhutekar</t>
  </si>
  <si>
    <t>B-25934</t>
  </si>
  <si>
    <t>Rahul</t>
  </si>
  <si>
    <t>B-25945</t>
  </si>
  <si>
    <t>Mhatre</t>
  </si>
  <si>
    <t>B-25950</t>
  </si>
  <si>
    <t>Shruti</t>
  </si>
  <si>
    <t>B-25952</t>
  </si>
  <si>
    <t>Priyanka</t>
  </si>
  <si>
    <t>B-25957</t>
  </si>
  <si>
    <t>Mahima</t>
  </si>
  <si>
    <t>B-25959</t>
  </si>
  <si>
    <t>Muskan</t>
  </si>
  <si>
    <t>B-25964</t>
  </si>
  <si>
    <t>Oshin</t>
  </si>
  <si>
    <t>B-25971</t>
  </si>
  <si>
    <t>Mitali</t>
  </si>
  <si>
    <t>B-25979</t>
  </si>
  <si>
    <t>B-25985</t>
  </si>
  <si>
    <t>Ginny</t>
  </si>
  <si>
    <t>B-25991</t>
  </si>
  <si>
    <t>Mansi</t>
  </si>
  <si>
    <t>B-25997</t>
  </si>
  <si>
    <t>Yogesh</t>
  </si>
  <si>
    <t>B-26037</t>
  </si>
  <si>
    <t>B-26047</t>
  </si>
  <si>
    <t>B-26055</t>
  </si>
  <si>
    <t>B-26061</t>
  </si>
  <si>
    <t>B-26065</t>
  </si>
  <si>
    <t>B-26073</t>
  </si>
  <si>
    <t>B-26100</t>
  </si>
  <si>
    <t>B-25603</t>
  </si>
  <si>
    <t>Jahan</t>
  </si>
  <si>
    <t>Bhopal</t>
  </si>
  <si>
    <t>B-25621</t>
  </si>
  <si>
    <t>Deepak</t>
  </si>
  <si>
    <t>B-25639</t>
  </si>
  <si>
    <t>Lisha</t>
  </si>
  <si>
    <t>B-25657</t>
  </si>
  <si>
    <t>Tulika</t>
  </si>
  <si>
    <t>B-25675</t>
  </si>
  <si>
    <t>Shreya</t>
  </si>
  <si>
    <t>B-25693</t>
  </si>
  <si>
    <t>Parna</t>
  </si>
  <si>
    <t>B-25711</t>
  </si>
  <si>
    <t>B-25729</t>
  </si>
  <si>
    <t>Madhulika</t>
  </si>
  <si>
    <t>B-25747</t>
  </si>
  <si>
    <t>Harsh</t>
  </si>
  <si>
    <t>B-25765</t>
  </si>
  <si>
    <t>Meghana</t>
  </si>
  <si>
    <t>B-25801</t>
  </si>
  <si>
    <t>Aryan</t>
  </si>
  <si>
    <t>B-25819</t>
  </si>
  <si>
    <t>Ankur</t>
  </si>
  <si>
    <t>B-25855</t>
  </si>
  <si>
    <t>Abhijeet</t>
  </si>
  <si>
    <t>B-25905</t>
  </si>
  <si>
    <t>Bhargav</t>
  </si>
  <si>
    <t>Delhi</t>
  </si>
  <si>
    <t>B-25907</t>
  </si>
  <si>
    <t>Jaydeep</t>
  </si>
  <si>
    <t>B-25909</t>
  </si>
  <si>
    <t>Sujay</t>
  </si>
  <si>
    <t>B-25911</t>
  </si>
  <si>
    <t>Phalguni</t>
  </si>
  <si>
    <t>B-25913</t>
  </si>
  <si>
    <t>Geetanjali</t>
  </si>
  <si>
    <t>B-26003</t>
  </si>
  <si>
    <t>Hitesh</t>
  </si>
  <si>
    <t>B-26013</t>
  </si>
  <si>
    <t>B-26031</t>
  </si>
  <si>
    <t>B-26049</t>
  </si>
  <si>
    <t>B-26067</t>
  </si>
  <si>
    <t>B-26076</t>
  </si>
  <si>
    <t>B-26094</t>
  </si>
  <si>
    <t>B-25602</t>
  </si>
  <si>
    <t>Pearl</t>
  </si>
  <si>
    <t>Maharashtra</t>
  </si>
  <si>
    <t>Pune</t>
  </si>
  <si>
    <t>B-25620</t>
  </si>
  <si>
    <t>Sarita</t>
  </si>
  <si>
    <t>B-25638</t>
  </si>
  <si>
    <t>Parth</t>
  </si>
  <si>
    <t>B-25656</t>
  </si>
  <si>
    <t>B-25674</t>
  </si>
  <si>
    <t>B-25710</t>
  </si>
  <si>
    <t>Megha</t>
  </si>
  <si>
    <t>B-25728</t>
  </si>
  <si>
    <t>Ameesha</t>
  </si>
  <si>
    <t>B-25746</t>
  </si>
  <si>
    <t>Shivam</t>
  </si>
  <si>
    <t>B-25764</t>
  </si>
  <si>
    <t>Sanjova</t>
  </si>
  <si>
    <t>B-25800</t>
  </si>
  <si>
    <t>Ishit</t>
  </si>
  <si>
    <t>B-25836</t>
  </si>
  <si>
    <t>Arti</t>
  </si>
  <si>
    <t>B-25854</t>
  </si>
  <si>
    <t>B-25944</t>
  </si>
  <si>
    <t>Syed</t>
  </si>
  <si>
    <t>B-25948</t>
  </si>
  <si>
    <t>Mukund</t>
  </si>
  <si>
    <t>B-25955</t>
  </si>
  <si>
    <t>Soumya</t>
  </si>
  <si>
    <t>B-25962</t>
  </si>
  <si>
    <t>Tejeswini</t>
  </si>
  <si>
    <t>B-26012</t>
  </si>
  <si>
    <t>B-26030</t>
  </si>
  <si>
    <t>B-26048</t>
  </si>
  <si>
    <t>B-26066</t>
  </si>
  <si>
    <t>B-26075</t>
  </si>
  <si>
    <t>B-26093</t>
  </si>
  <si>
    <t>B-25626</t>
  </si>
  <si>
    <t>Bhishm</t>
  </si>
  <si>
    <t>Mumbai</t>
  </si>
  <si>
    <t>B-25636</t>
  </si>
  <si>
    <t>Nishi</t>
  </si>
  <si>
    <t>B-25644</t>
  </si>
  <si>
    <t>Mayank</t>
  </si>
  <si>
    <t>B-25650</t>
  </si>
  <si>
    <t>Chirag</t>
  </si>
  <si>
    <t>B-25654</t>
  </si>
  <si>
    <t>Sabah</t>
  </si>
  <si>
    <t>B-25662</t>
  </si>
  <si>
    <t>Sweta</t>
  </si>
  <si>
    <t>B-25679</t>
  </si>
  <si>
    <t>Avni</t>
  </si>
  <si>
    <t>B-25684</t>
  </si>
  <si>
    <t>Samiksha</t>
  </si>
  <si>
    <t>B-25687</t>
  </si>
  <si>
    <t>Sanjna</t>
  </si>
  <si>
    <t>B-25689</t>
  </si>
  <si>
    <t>Bhaggyasree</t>
  </si>
  <si>
    <t>B-25691</t>
  </si>
  <si>
    <t>Akancha</t>
  </si>
  <si>
    <t>B-25700</t>
  </si>
  <si>
    <t>Shubhi</t>
  </si>
  <si>
    <t>B-25702</t>
  </si>
  <si>
    <t>Shaily</t>
  </si>
  <si>
    <t>B-25704</t>
  </si>
  <si>
    <t>Riya</t>
  </si>
  <si>
    <t>B-25707</t>
  </si>
  <si>
    <t>B-25718</t>
  </si>
  <si>
    <t>Anjali</t>
  </si>
  <si>
    <t>B-25723</t>
  </si>
  <si>
    <t>Wale</t>
  </si>
  <si>
    <t>B-25726</t>
  </si>
  <si>
    <t>Kiran</t>
  </si>
  <si>
    <t>B-25733</t>
  </si>
  <si>
    <t>Dhirajendu</t>
  </si>
  <si>
    <t>B-25736</t>
  </si>
  <si>
    <t>Akshat</t>
  </si>
  <si>
    <t>B-25740</t>
  </si>
  <si>
    <t>Rane</t>
  </si>
  <si>
    <t>B-25749</t>
  </si>
  <si>
    <t>Ayush</t>
  </si>
  <si>
    <t>B-25751</t>
  </si>
  <si>
    <t>Nishant</t>
  </si>
  <si>
    <t>B-25756</t>
  </si>
  <si>
    <t>Mohan</t>
  </si>
  <si>
    <t>B-25761</t>
  </si>
  <si>
    <t>Surabhi</t>
  </si>
  <si>
    <t>B-25769</t>
  </si>
  <si>
    <t>Surbhi</t>
  </si>
  <si>
    <t>B-25776</t>
  </si>
  <si>
    <t>Mousam</t>
  </si>
  <si>
    <t>B-25778</t>
  </si>
  <si>
    <t>B-25782</t>
  </si>
  <si>
    <t>B-25792</t>
  </si>
  <si>
    <t>Abhishek</t>
  </si>
  <si>
    <t>B-25796</t>
  </si>
  <si>
    <t>Sukrith</t>
  </si>
  <si>
    <t>B-25802</t>
  </si>
  <si>
    <t>Yash</t>
  </si>
  <si>
    <t>B-25805</t>
  </si>
  <si>
    <t>Ankit</t>
  </si>
  <si>
    <t>B-25811</t>
  </si>
  <si>
    <t>Utsav</t>
  </si>
  <si>
    <t>B-25813</t>
  </si>
  <si>
    <t>Hrisheekesh</t>
  </si>
  <si>
    <t>B-25817</t>
  </si>
  <si>
    <t>Praneet</t>
  </si>
  <si>
    <t>B-25823</t>
  </si>
  <si>
    <t>B-25826</t>
  </si>
  <si>
    <t>Tanushree</t>
  </si>
  <si>
    <t>B-25832</t>
  </si>
  <si>
    <t>Harshita</t>
  </si>
  <si>
    <t>B-25837</t>
  </si>
  <si>
    <t>Palak</t>
  </si>
  <si>
    <t>B-25841</t>
  </si>
  <si>
    <t>Ashvini</t>
  </si>
  <si>
    <t>B-25843</t>
  </si>
  <si>
    <t>Mrunal</t>
  </si>
  <si>
    <t>B-25856</t>
  </si>
  <si>
    <t>B-25858</t>
  </si>
  <si>
    <t>B-25864</t>
  </si>
  <si>
    <t>Aromal</t>
  </si>
  <si>
    <t>B-25872</t>
  </si>
  <si>
    <t>Saurabh</t>
  </si>
  <si>
    <t>B-25878</t>
  </si>
  <si>
    <t>Mrinal</t>
  </si>
  <si>
    <t>B-25884</t>
  </si>
  <si>
    <t>Sumeet</t>
  </si>
  <si>
    <t>B-25890</t>
  </si>
  <si>
    <t>Divyansha</t>
  </si>
  <si>
    <t>B-25896</t>
  </si>
  <si>
    <t>Aman</t>
  </si>
  <si>
    <t>B-25902</t>
  </si>
  <si>
    <t>Ishpreet</t>
  </si>
  <si>
    <t>B-25917</t>
  </si>
  <si>
    <t>Sanjay</t>
  </si>
  <si>
    <t>B-25923</t>
  </si>
  <si>
    <t>Vishakha</t>
  </si>
  <si>
    <t>B-25925</t>
  </si>
  <si>
    <t>B-25931</t>
  </si>
  <si>
    <t>Sidharth</t>
  </si>
  <si>
    <t>B-25933</t>
  </si>
  <si>
    <t>Shikhar</t>
  </si>
  <si>
    <t>B-25949</t>
  </si>
  <si>
    <t>Shantanu</t>
  </si>
  <si>
    <t>B-25956</t>
  </si>
  <si>
    <t>B-25963</t>
  </si>
  <si>
    <t>Pratiksha</t>
  </si>
  <si>
    <t>B-25970</t>
  </si>
  <si>
    <t>Rhea</t>
  </si>
  <si>
    <t>B-25978</t>
  </si>
  <si>
    <t>Parin</t>
  </si>
  <si>
    <t>B-26036</t>
  </si>
  <si>
    <t>B-26046</t>
  </si>
  <si>
    <t>B-26054</t>
  </si>
  <si>
    <t>B-26060</t>
  </si>
  <si>
    <t>B-26064</t>
  </si>
  <si>
    <t>Ankita</t>
  </si>
  <si>
    <t>B-26072</t>
  </si>
  <si>
    <t>B-26099</t>
  </si>
  <si>
    <t>B-25601</t>
  </si>
  <si>
    <t>Bharat</t>
  </si>
  <si>
    <t>Gujarat</t>
  </si>
  <si>
    <t>Ahmedabad</t>
  </si>
  <si>
    <t>B-25604</t>
  </si>
  <si>
    <t>Divsha</t>
  </si>
  <si>
    <t>Rajasthan</t>
  </si>
  <si>
    <t>Jaipur</t>
  </si>
  <si>
    <t>B-25605</t>
  </si>
  <si>
    <t>Kasheen</t>
  </si>
  <si>
    <t>West Bengal</t>
  </si>
  <si>
    <t>Kolkata</t>
  </si>
  <si>
    <t>B-25606</t>
  </si>
  <si>
    <t>Hazel</t>
  </si>
  <si>
    <t>Karnataka</t>
  </si>
  <si>
    <t>Bangalore</t>
  </si>
  <si>
    <t>B-25607</t>
  </si>
  <si>
    <t>Sonakshi</t>
  </si>
  <si>
    <t>Jammu and Kashmir</t>
  </si>
  <si>
    <t>Kashmir</t>
  </si>
  <si>
    <t>B-25608</t>
  </si>
  <si>
    <t>Aarushi</t>
  </si>
  <si>
    <t>Tamil Nadu</t>
  </si>
  <si>
    <t>Chennai</t>
  </si>
  <si>
    <t>B-25609</t>
  </si>
  <si>
    <t>Jitesh</t>
  </si>
  <si>
    <t>Uttar Pradesh</t>
  </si>
  <si>
    <t>Lucknow</t>
  </si>
  <si>
    <t>B-25610</t>
  </si>
  <si>
    <t>Bihar</t>
  </si>
  <si>
    <t>Patna</t>
  </si>
  <si>
    <t>B-25611</t>
  </si>
  <si>
    <t>Anita</t>
  </si>
  <si>
    <t>Kerala</t>
  </si>
  <si>
    <t>Thiruvananthapuram</t>
  </si>
  <si>
    <t>B-25612</t>
  </si>
  <si>
    <t>Shrichand</t>
  </si>
  <si>
    <t>Punjab</t>
  </si>
  <si>
    <t>Chandigarh</t>
  </si>
  <si>
    <t>B-25613</t>
  </si>
  <si>
    <t>Mukesh</t>
  </si>
  <si>
    <t>Haryana</t>
  </si>
  <si>
    <t>B-25614</t>
  </si>
  <si>
    <t>Vandana</t>
  </si>
  <si>
    <t>Himachal Pradesh</t>
  </si>
  <si>
    <t>Simla</t>
  </si>
  <si>
    <t>B-25615</t>
  </si>
  <si>
    <t>Bhavna</t>
  </si>
  <si>
    <t>Sikkim</t>
  </si>
  <si>
    <t>Gangtok</t>
  </si>
  <si>
    <t>B-25616</t>
  </si>
  <si>
    <t>Kanak</t>
  </si>
  <si>
    <t>Goa</t>
  </si>
  <si>
    <t>B-25617</t>
  </si>
  <si>
    <t>Sagar</t>
  </si>
  <si>
    <t>Nagaland</t>
  </si>
  <si>
    <t>Kohima</t>
  </si>
  <si>
    <t>B-25618</t>
  </si>
  <si>
    <t>Manju</t>
  </si>
  <si>
    <t>Andhra Pradesh</t>
  </si>
  <si>
    <t>Hyderabad</t>
  </si>
  <si>
    <t>B-25619</t>
  </si>
  <si>
    <t>Ramesh</t>
  </si>
  <si>
    <t>B-25622</t>
  </si>
  <si>
    <t>Monisha</t>
  </si>
  <si>
    <t>B-25623</t>
  </si>
  <si>
    <t>Atharv</t>
  </si>
  <si>
    <t>B-25624</t>
  </si>
  <si>
    <t>Vini</t>
  </si>
  <si>
    <t>B-25625</t>
  </si>
  <si>
    <t>Pinky</t>
  </si>
  <si>
    <t>B-25628</t>
  </si>
  <si>
    <t>Pooja</t>
  </si>
  <si>
    <t>B-25629</t>
  </si>
  <si>
    <t>Hemant</t>
  </si>
  <si>
    <t>B-25630</t>
  </si>
  <si>
    <t>Sahil</t>
  </si>
  <si>
    <t>B-25631</t>
  </si>
  <si>
    <t>Ritu</t>
  </si>
  <si>
    <t>B-25632</t>
  </si>
  <si>
    <t>Manish</t>
  </si>
  <si>
    <t>B-25633</t>
  </si>
  <si>
    <t>Amit</t>
  </si>
  <si>
    <t>B-25634</t>
  </si>
  <si>
    <t>B-25635</t>
  </si>
  <si>
    <t>Nidhi</t>
  </si>
  <si>
    <t>B-25640</t>
  </si>
  <si>
    <t>Paridhi</t>
  </si>
  <si>
    <t>B-25641</t>
  </si>
  <si>
    <t>Parishi</t>
  </si>
  <si>
    <t>B-25642</t>
  </si>
  <si>
    <t>Ajay</t>
  </si>
  <si>
    <t>B-25643</t>
  </si>
  <si>
    <t>Kirti</t>
  </si>
  <si>
    <t>B-25646</t>
  </si>
  <si>
    <t>Sonal</t>
  </si>
  <si>
    <t>B-25647</t>
  </si>
  <si>
    <t>Sharda</t>
  </si>
  <si>
    <t>B-25648</t>
  </si>
  <si>
    <t>Aditya</t>
  </si>
  <si>
    <t>B-25649</t>
  </si>
  <si>
    <t>Rachna</t>
  </si>
  <si>
    <t>B-25652</t>
  </si>
  <si>
    <t>Tushina</t>
  </si>
  <si>
    <t>B-25653</t>
  </si>
  <si>
    <t>Farah</t>
  </si>
  <si>
    <t>B-25658</t>
  </si>
  <si>
    <t>Shefali</t>
  </si>
  <si>
    <t>B-25659</t>
  </si>
  <si>
    <t>Sanskriti</t>
  </si>
  <si>
    <t>B-25660</t>
  </si>
  <si>
    <t>B-25661</t>
  </si>
  <si>
    <t>Subhashree</t>
  </si>
  <si>
    <t>B-25664</t>
  </si>
  <si>
    <t>Pratyusmita</t>
  </si>
  <si>
    <t>B-25665</t>
  </si>
  <si>
    <t>Chayanika</t>
  </si>
  <si>
    <t>B-25666</t>
  </si>
  <si>
    <t>Tanvi</t>
  </si>
  <si>
    <t>B-25667</t>
  </si>
  <si>
    <t>B-25668</t>
  </si>
  <si>
    <t>B-25669</t>
  </si>
  <si>
    <t>Piyali</t>
  </si>
  <si>
    <t>B-25670</t>
  </si>
  <si>
    <t>Charika</t>
  </si>
  <si>
    <t>B-25671</t>
  </si>
  <si>
    <t>B-25672</t>
  </si>
  <si>
    <t>Akanksha</t>
  </si>
  <si>
    <t>B-25673</t>
  </si>
  <si>
    <t>Arsheen</t>
  </si>
  <si>
    <t>B-25676</t>
  </si>
  <si>
    <t>Chandni</t>
  </si>
  <si>
    <t>B-25677</t>
  </si>
  <si>
    <t>B-25678</t>
  </si>
  <si>
    <t>Bathina</t>
  </si>
  <si>
    <t>B-25682</t>
  </si>
  <si>
    <t>Krutika</t>
  </si>
  <si>
    <t>B-25683</t>
  </si>
  <si>
    <t>B-25686</t>
  </si>
  <si>
    <t>B-25694</t>
  </si>
  <si>
    <t>Subhasmita</t>
  </si>
  <si>
    <t>B-25695</t>
  </si>
  <si>
    <t>Suhani</t>
  </si>
  <si>
    <t>B-25696</t>
  </si>
  <si>
    <t>Noopur</t>
  </si>
  <si>
    <t>B-25697</t>
  </si>
  <si>
    <t>Vijay</t>
  </si>
  <si>
    <t>B-25698</t>
  </si>
  <si>
    <t>Amisha</t>
  </si>
  <si>
    <t>B-25699</t>
  </si>
  <si>
    <t>Kritika</t>
  </si>
  <si>
    <t>B-25706</t>
  </si>
  <si>
    <t>Swetlana</t>
  </si>
  <si>
    <t>B-25712</t>
  </si>
  <si>
    <t>Adhvaita</t>
  </si>
  <si>
    <t>B-25713</t>
  </si>
  <si>
    <t>Raksha</t>
  </si>
  <si>
    <t>B-25714</t>
  </si>
  <si>
    <t>Stuti</t>
  </si>
  <si>
    <t>B-25715</t>
  </si>
  <si>
    <t>Srishti</t>
  </si>
  <si>
    <t>B-25716</t>
  </si>
  <si>
    <t>B-25717</t>
  </si>
  <si>
    <t>Manshul</t>
  </si>
  <si>
    <t>B-25720</t>
  </si>
  <si>
    <t>Namrata</t>
  </si>
  <si>
    <t>B-25721</t>
  </si>
  <si>
    <t>Anchal</t>
  </si>
  <si>
    <t>B-25722</t>
  </si>
  <si>
    <t>Inderpreet</t>
  </si>
  <si>
    <t>B-25725</t>
  </si>
  <si>
    <t>Anisha</t>
  </si>
  <si>
    <t>B-25730</t>
  </si>
  <si>
    <t>Rishabh</t>
  </si>
  <si>
    <t>B-25731</t>
  </si>
  <si>
    <t>Akash</t>
  </si>
  <si>
    <t>B-25732</t>
  </si>
  <si>
    <t>Anubhaw</t>
  </si>
  <si>
    <t>B-25735</t>
  </si>
  <si>
    <t>Arindam</t>
  </si>
  <si>
    <t>B-25738</t>
  </si>
  <si>
    <t>B-25739</t>
  </si>
  <si>
    <t>Daksh</t>
  </si>
  <si>
    <t>B-25742</t>
  </si>
  <si>
    <t>Ashwin</t>
  </si>
  <si>
    <t>B-25743</t>
  </si>
  <si>
    <t>B-25744</t>
  </si>
  <si>
    <t>Devendra</t>
  </si>
  <si>
    <t>B-25745</t>
  </si>
  <si>
    <t>B-25748</t>
  </si>
  <si>
    <t>Nitant</t>
  </si>
  <si>
    <t>B-25753</t>
  </si>
  <si>
    <t>B-25754</t>
  </si>
  <si>
    <t>Akshay</t>
  </si>
  <si>
    <t>B-25755</t>
  </si>
  <si>
    <t>Shourya</t>
  </si>
  <si>
    <t>B-25758</t>
  </si>
  <si>
    <t>B-25759</t>
  </si>
  <si>
    <t>B-25760</t>
  </si>
  <si>
    <t>B-25763</t>
  </si>
  <si>
    <t>Noshiba</t>
  </si>
  <si>
    <t>B-25766</t>
  </si>
  <si>
    <t>B-25767</t>
  </si>
  <si>
    <t>Ashmeet</t>
  </si>
  <si>
    <t>B-25768</t>
  </si>
  <si>
    <t>Shreyoshe</t>
  </si>
  <si>
    <t>B-25771</t>
  </si>
  <si>
    <t>Vaibhavi</t>
  </si>
  <si>
    <t>B-25772</t>
  </si>
  <si>
    <t>B-25773</t>
  </si>
  <si>
    <t>B-25774</t>
  </si>
  <si>
    <t>Snehal</t>
  </si>
  <si>
    <t>B-25775</t>
  </si>
  <si>
    <t>Duhita</t>
  </si>
  <si>
    <t>B-25780</t>
  </si>
  <si>
    <t>Teena</t>
  </si>
  <si>
    <t>B-25781</t>
  </si>
  <si>
    <t>Rutuja</t>
  </si>
  <si>
    <t>B-25784</t>
  </si>
  <si>
    <t>Rohit</t>
  </si>
  <si>
    <t>B-25785</t>
  </si>
  <si>
    <t>B-25786</t>
  </si>
  <si>
    <t>B-25787</t>
  </si>
  <si>
    <t>Asish</t>
  </si>
  <si>
    <t>B-25788</t>
  </si>
  <si>
    <t>Dinesh</t>
  </si>
  <si>
    <t>B-25789</t>
  </si>
  <si>
    <t>B-25790</t>
  </si>
  <si>
    <t>Sajal</t>
  </si>
  <si>
    <t>B-25791</t>
  </si>
  <si>
    <t>Avish</t>
  </si>
  <si>
    <t>B-25794</t>
  </si>
  <si>
    <t>B-25795</t>
  </si>
  <si>
    <t>Sukant</t>
  </si>
  <si>
    <t>B-25798</t>
  </si>
  <si>
    <t>Shishu</t>
  </si>
  <si>
    <t>B-25799</t>
  </si>
  <si>
    <t>Divyansh</t>
  </si>
  <si>
    <t>B-25804</t>
  </si>
  <si>
    <t>Sudheer</t>
  </si>
  <si>
    <t>B-25807</t>
  </si>
  <si>
    <t>Vipul</t>
  </si>
  <si>
    <t>B-25808</t>
  </si>
  <si>
    <t>Apsingekar</t>
  </si>
  <si>
    <t>B-25809</t>
  </si>
  <si>
    <t>Suman</t>
  </si>
  <si>
    <t>B-25810</t>
  </si>
  <si>
    <t>Nripraj</t>
  </si>
  <si>
    <t>B-25815</t>
  </si>
  <si>
    <t>B-25816</t>
  </si>
  <si>
    <t>Mane</t>
  </si>
  <si>
    <t>B-25820</t>
  </si>
  <si>
    <t>Dheeraj</t>
  </si>
  <si>
    <t>B-25821</t>
  </si>
  <si>
    <t>B-25822</t>
  </si>
  <si>
    <t>Tejas</t>
  </si>
  <si>
    <t>B-25828</t>
  </si>
  <si>
    <t>Nikita</t>
  </si>
  <si>
    <t>B-25829</t>
  </si>
  <si>
    <t>Apoorva</t>
  </si>
  <si>
    <t>B-25830</t>
  </si>
  <si>
    <t>Aastha</t>
  </si>
  <si>
    <t>B-25831</t>
  </si>
  <si>
    <t>B-25834</t>
  </si>
  <si>
    <t>Ananya</t>
  </si>
  <si>
    <t>B-25835</t>
  </si>
  <si>
    <t>Moumita</t>
  </si>
  <si>
    <t>B-25839</t>
  </si>
  <si>
    <t>Pranjali</t>
  </si>
  <si>
    <t>B-25840</t>
  </si>
  <si>
    <t>Sneha</t>
  </si>
  <si>
    <t>B-25845</t>
  </si>
  <si>
    <t>Snel</t>
  </si>
  <si>
    <t>B-25846</t>
  </si>
  <si>
    <t>Soodesh</t>
  </si>
  <si>
    <t>B-25847</t>
  </si>
  <si>
    <t>Aniket</t>
  </si>
  <si>
    <t>B-25848</t>
  </si>
  <si>
    <t>B-25849</t>
  </si>
  <si>
    <t>K</t>
  </si>
  <si>
    <t>B-25850</t>
  </si>
  <si>
    <t>B-25851</t>
  </si>
  <si>
    <t>Kushal</t>
  </si>
  <si>
    <t>B-25852</t>
  </si>
  <si>
    <t>Soumyabrata</t>
  </si>
  <si>
    <t>B-25853</t>
  </si>
  <si>
    <t>Gaurav</t>
  </si>
  <si>
    <t>B-25860</t>
  </si>
  <si>
    <t>B-25861</t>
  </si>
  <si>
    <t>Aayush</t>
  </si>
  <si>
    <t>B-25862</t>
  </si>
  <si>
    <t>Amol</t>
  </si>
  <si>
    <t>B-25863</t>
  </si>
  <si>
    <t>Manibalan</t>
  </si>
  <si>
    <t>B-25866</t>
  </si>
  <si>
    <t>Komal</t>
  </si>
  <si>
    <t>B-25867</t>
  </si>
  <si>
    <t>B-25868</t>
  </si>
  <si>
    <t>Vikash</t>
  </si>
  <si>
    <t>B-25869</t>
  </si>
  <si>
    <t>Parakh</t>
  </si>
  <si>
    <t>B-25870</t>
  </si>
  <si>
    <t>B-25871</t>
  </si>
  <si>
    <t>Gunjal</t>
  </si>
  <si>
    <t>Surat</t>
  </si>
  <si>
    <t>B-25874</t>
  </si>
  <si>
    <t>Udaipur</t>
  </si>
  <si>
    <t>B-25875</t>
  </si>
  <si>
    <t>Divyeshkumar</t>
  </si>
  <si>
    <t>Allahabad</t>
  </si>
  <si>
    <t>B-25876</t>
  </si>
  <si>
    <t>Bhosale</t>
  </si>
  <si>
    <t>Amritsar</t>
  </si>
  <si>
    <t>B-25877</t>
  </si>
  <si>
    <t>Dashyam</t>
  </si>
  <si>
    <t>B-25880</t>
  </si>
  <si>
    <t>Apoorv</t>
  </si>
  <si>
    <t>B-25881</t>
  </si>
  <si>
    <t>B-25882</t>
  </si>
  <si>
    <t>Masurkar</t>
  </si>
  <si>
    <t>B-25883</t>
  </si>
  <si>
    <t>Saptadeep</t>
  </si>
  <si>
    <t>B-25886</t>
  </si>
  <si>
    <t>Brijesh</t>
  </si>
  <si>
    <t>B-25887</t>
  </si>
  <si>
    <t>Vedant</t>
  </si>
  <si>
    <t>B-25888</t>
  </si>
  <si>
    <t>B-25889</t>
  </si>
  <si>
    <t>B-25892</t>
  </si>
  <si>
    <t>B-25893</t>
  </si>
  <si>
    <t>Aashna</t>
  </si>
  <si>
    <t>B-25894</t>
  </si>
  <si>
    <t>Monu</t>
  </si>
  <si>
    <t>B-25895</t>
  </si>
  <si>
    <t>Sathya</t>
  </si>
  <si>
    <t>B-25898</t>
  </si>
  <si>
    <t>B-25899</t>
  </si>
  <si>
    <t>Aishwarya</t>
  </si>
  <si>
    <t>B-25900</t>
  </si>
  <si>
    <t>B-25901</t>
  </si>
  <si>
    <t>Suraj</t>
  </si>
  <si>
    <t>B-25904</t>
  </si>
  <si>
    <t>B-25906</t>
  </si>
  <si>
    <t>Abhijit</t>
  </si>
  <si>
    <t>B-25908</t>
  </si>
  <si>
    <t>Pradeep</t>
  </si>
  <si>
    <t>B-25910</t>
  </si>
  <si>
    <t>Jay</t>
  </si>
  <si>
    <t>B-25912</t>
  </si>
  <si>
    <t>Preksha</t>
  </si>
  <si>
    <t>B-25914</t>
  </si>
  <si>
    <t>Kajal</t>
  </si>
  <si>
    <t>B-25915</t>
  </si>
  <si>
    <t>Sukruta</t>
  </si>
  <si>
    <t>B-25916</t>
  </si>
  <si>
    <t>Utkarsh</t>
  </si>
  <si>
    <t>B-25919</t>
  </si>
  <si>
    <t>Neha</t>
  </si>
  <si>
    <t>B-25920</t>
  </si>
  <si>
    <t>Jayanti</t>
  </si>
  <si>
    <t>B-25921</t>
  </si>
  <si>
    <t>Sandra</t>
  </si>
  <si>
    <t>B-25922</t>
  </si>
  <si>
    <t>Akshata</t>
  </si>
  <si>
    <t>B-25924</t>
  </si>
  <si>
    <t>Prajakta</t>
  </si>
  <si>
    <t>B-25927</t>
  </si>
  <si>
    <t>B-25928</t>
  </si>
  <si>
    <t>Smriti</t>
  </si>
  <si>
    <t>B-25929</t>
  </si>
  <si>
    <t>Girase</t>
  </si>
  <si>
    <t>B-25930</t>
  </si>
  <si>
    <t>Monica</t>
  </si>
  <si>
    <t>B-25935</t>
  </si>
  <si>
    <t>Sudhir</t>
  </si>
  <si>
    <t>B-25936</t>
  </si>
  <si>
    <t>Nikhil</t>
  </si>
  <si>
    <t>B-25937</t>
  </si>
  <si>
    <t>B-25938</t>
  </si>
  <si>
    <t>B-25939</t>
  </si>
  <si>
    <t>Vineet</t>
  </si>
  <si>
    <t>B-25940</t>
  </si>
  <si>
    <t>Vivek</t>
  </si>
  <si>
    <t>B-25941</t>
  </si>
  <si>
    <t>Jaideep</t>
  </si>
  <si>
    <t>B-25942</t>
  </si>
  <si>
    <t>B-25943</t>
  </si>
  <si>
    <t>Shardul</t>
  </si>
  <si>
    <t>B-25946</t>
  </si>
  <si>
    <t>B-25947</t>
  </si>
  <si>
    <t>Chetan</t>
  </si>
  <si>
    <t>B-25951</t>
  </si>
  <si>
    <t>Jesal</t>
  </si>
  <si>
    <t>B-25953</t>
  </si>
  <si>
    <t>B-25954</t>
  </si>
  <si>
    <t>Trupti</t>
  </si>
  <si>
    <t>B-25958</t>
  </si>
  <si>
    <t>Aparajita</t>
  </si>
  <si>
    <t>B-25960</t>
  </si>
  <si>
    <t>B-25961</t>
  </si>
  <si>
    <t>B-25965</t>
  </si>
  <si>
    <t>Saloni</t>
  </si>
  <si>
    <t>B-25966</t>
  </si>
  <si>
    <t>B-25967</t>
  </si>
  <si>
    <t>B-25968</t>
  </si>
  <si>
    <t>Paromita</t>
  </si>
  <si>
    <t>B-25969</t>
  </si>
  <si>
    <t>Shreyshi</t>
  </si>
  <si>
    <t>B-25972</t>
  </si>
  <si>
    <t>Jesslyn</t>
  </si>
  <si>
    <t>B-25973</t>
  </si>
  <si>
    <t>Seema</t>
  </si>
  <si>
    <t>B-25974</t>
  </si>
  <si>
    <t>Manisha</t>
  </si>
  <si>
    <t>B-25975</t>
  </si>
  <si>
    <t>B-25976</t>
  </si>
  <si>
    <t>Piyam</t>
  </si>
  <si>
    <t>B-25977</t>
  </si>
  <si>
    <t>B-25980</t>
  </si>
  <si>
    <t>B-25981</t>
  </si>
  <si>
    <t>Amruta</t>
  </si>
  <si>
    <t>B-25982</t>
  </si>
  <si>
    <t>Hemangi</t>
  </si>
  <si>
    <t>B-25983</t>
  </si>
  <si>
    <t>Atul</t>
  </si>
  <si>
    <t>B-25984</t>
  </si>
  <si>
    <t>B-25986</t>
  </si>
  <si>
    <t>B-25987</t>
  </si>
  <si>
    <t>Manjiri</t>
  </si>
  <si>
    <t>B-25988</t>
  </si>
  <si>
    <t>Nirja</t>
  </si>
  <si>
    <t>B-25989</t>
  </si>
  <si>
    <t>B-25990</t>
  </si>
  <si>
    <t>Mugdha</t>
  </si>
  <si>
    <t>B-25992</t>
  </si>
  <si>
    <t>B-25993</t>
  </si>
  <si>
    <t>Harshal</t>
  </si>
  <si>
    <t>B-25994</t>
  </si>
  <si>
    <t>Omkar</t>
  </si>
  <si>
    <t>B-25995</t>
  </si>
  <si>
    <t>Yohann</t>
  </si>
  <si>
    <t>B-25996</t>
  </si>
  <si>
    <t>Prashant</t>
  </si>
  <si>
    <t>B-25998</t>
  </si>
  <si>
    <t>Anmol</t>
  </si>
  <si>
    <t>B-25999</t>
  </si>
  <si>
    <t>Diwakar</t>
  </si>
  <si>
    <t>B-26000</t>
  </si>
  <si>
    <t>B-26001</t>
  </si>
  <si>
    <t>Patil</t>
  </si>
  <si>
    <t>B-26002</t>
  </si>
  <si>
    <t>B-26004</t>
  </si>
  <si>
    <t>Nandita</t>
  </si>
  <si>
    <t>B-26005</t>
  </si>
  <si>
    <t>Parnavi</t>
  </si>
  <si>
    <t>B-26006</t>
  </si>
  <si>
    <t>Arpita</t>
  </si>
  <si>
    <t>B-26007</t>
  </si>
  <si>
    <t>B-26008</t>
  </si>
  <si>
    <t>Kalyani</t>
  </si>
  <si>
    <t>B-26009</t>
  </si>
  <si>
    <t>B-26010</t>
  </si>
  <si>
    <t>Kartikay</t>
  </si>
  <si>
    <t>B-26011</t>
  </si>
  <si>
    <t>B-26014</t>
  </si>
  <si>
    <t>B-26015</t>
  </si>
  <si>
    <t>B-26016</t>
  </si>
  <si>
    <t>B-26017</t>
  </si>
  <si>
    <t>B-26018</t>
  </si>
  <si>
    <t>B-26019</t>
  </si>
  <si>
    <t>B-26020</t>
  </si>
  <si>
    <t>B-26021</t>
  </si>
  <si>
    <t>B-26022</t>
  </si>
  <si>
    <t>B-26023</t>
  </si>
  <si>
    <t>B-26024</t>
  </si>
  <si>
    <t>B-26025</t>
  </si>
  <si>
    <t>B-26026</t>
  </si>
  <si>
    <t>B-26027</t>
  </si>
  <si>
    <t>B-26028</t>
  </si>
  <si>
    <t>B-26029</t>
  </si>
  <si>
    <t>B-26032</t>
  </si>
  <si>
    <t>B-26033</t>
  </si>
  <si>
    <t>B-26034</t>
  </si>
  <si>
    <t>B-26035</t>
  </si>
  <si>
    <t>B-26038</t>
  </si>
  <si>
    <t>B-26039</t>
  </si>
  <si>
    <t>B-26040</t>
  </si>
  <si>
    <t>B-26041</t>
  </si>
  <si>
    <t>B-26042</t>
  </si>
  <si>
    <t>B-26043</t>
  </si>
  <si>
    <t>B-26044</t>
  </si>
  <si>
    <t>B-26045</t>
  </si>
  <si>
    <t>B-26050</t>
  </si>
  <si>
    <t>B-26051</t>
  </si>
  <si>
    <t>B-26052</t>
  </si>
  <si>
    <t>B-26053</t>
  </si>
  <si>
    <t>B-26056</t>
  </si>
  <si>
    <t>B-26057</t>
  </si>
  <si>
    <t>B-26058</t>
  </si>
  <si>
    <t>B-26059</t>
  </si>
  <si>
    <t>B-26062</t>
  </si>
  <si>
    <t>B-26063</t>
  </si>
  <si>
    <t>B-26068</t>
  </si>
  <si>
    <t>B-26069</t>
  </si>
  <si>
    <t>B-26070</t>
  </si>
  <si>
    <t>B-26071</t>
  </si>
  <si>
    <t>B-26074</t>
  </si>
  <si>
    <t>B-26077</t>
  </si>
  <si>
    <t>B-26078</t>
  </si>
  <si>
    <t>B-26079</t>
  </si>
  <si>
    <t>B-26080</t>
  </si>
  <si>
    <t>B-26081</t>
  </si>
  <si>
    <t>B-26082</t>
  </si>
  <si>
    <t>B-26083</t>
  </si>
  <si>
    <t>B-26084</t>
  </si>
  <si>
    <t>B-26085</t>
  </si>
  <si>
    <t>B-26086</t>
  </si>
  <si>
    <t>B-26087</t>
  </si>
  <si>
    <t>B-26088</t>
  </si>
  <si>
    <t>B-26089</t>
  </si>
  <si>
    <t>B-26090</t>
  </si>
  <si>
    <t>B-26091</t>
  </si>
  <si>
    <t>B-26092</t>
  </si>
  <si>
    <t>B-26095</t>
  </si>
  <si>
    <t>B-26096</t>
  </si>
  <si>
    <t>B-26097</t>
  </si>
  <si>
    <t>B-26098</t>
  </si>
  <si>
    <t>Amount</t>
  </si>
  <si>
    <t>Profit</t>
  </si>
  <si>
    <t>Quantity</t>
  </si>
  <si>
    <t>Category</t>
  </si>
  <si>
    <t>Sub-Category</t>
  </si>
  <si>
    <t>Clothing</t>
  </si>
  <si>
    <t>Saree</t>
  </si>
  <si>
    <t>Hankerchief</t>
  </si>
  <si>
    <t>Stole</t>
  </si>
  <si>
    <t>T-shirt</t>
  </si>
  <si>
    <t>Shirt</t>
  </si>
  <si>
    <t>Skirt</t>
  </si>
  <si>
    <t>Trousers</t>
  </si>
  <si>
    <t>Kurti</t>
  </si>
  <si>
    <t>Leggings</t>
  </si>
  <si>
    <t>Electronics</t>
  </si>
  <si>
    <t>Accessories</t>
  </si>
  <si>
    <t>Printers</t>
  </si>
  <si>
    <t>Electronic Games</t>
  </si>
  <si>
    <t>Phones</t>
  </si>
  <si>
    <t>Furniture</t>
  </si>
  <si>
    <t>Bookcases</t>
  </si>
  <si>
    <t>Furnishings</t>
  </si>
  <si>
    <t>Chairs</t>
  </si>
  <si>
    <t>Tables</t>
  </si>
  <si>
    <t>Total Sales</t>
  </si>
  <si>
    <t>Total Profit</t>
  </si>
  <si>
    <t>Total Quantity</t>
  </si>
  <si>
    <t>Profit Margin %</t>
  </si>
  <si>
    <t>Total Orders</t>
  </si>
  <si>
    <t>Average Order Value</t>
  </si>
  <si>
    <t>Average Quantity Per Order</t>
  </si>
  <si>
    <t>Row Labels</t>
  </si>
  <si>
    <t>Order Date (Year)</t>
  </si>
  <si>
    <t>Order Date (Quarter)</t>
  </si>
  <si>
    <t>Order Date (Month Index)</t>
  </si>
  <si>
    <t>Order Date (Month)</t>
  </si>
  <si>
    <t>2018</t>
  </si>
  <si>
    <t>Qtr2</t>
  </si>
  <si>
    <t>Apr</t>
  </si>
  <si>
    <t>May</t>
  </si>
  <si>
    <t>Jun</t>
  </si>
  <si>
    <t>Qtr3</t>
  </si>
  <si>
    <t>Jul</t>
  </si>
  <si>
    <t>Aug</t>
  </si>
  <si>
    <t>Sep</t>
  </si>
  <si>
    <t>Qtr4</t>
  </si>
  <si>
    <t>Oct</t>
  </si>
  <si>
    <t>Nov</t>
  </si>
  <si>
    <t>Dec</t>
  </si>
  <si>
    <t>2019</t>
  </si>
  <si>
    <t>Qtr1</t>
  </si>
  <si>
    <t>Jan</t>
  </si>
  <si>
    <t>Feb</t>
  </si>
  <si>
    <t>Mar</t>
  </si>
  <si>
    <t>Count of Order ID</t>
  </si>
  <si>
    <t>Month Name</t>
  </si>
  <si>
    <t>April</t>
  </si>
  <si>
    <t>June</t>
  </si>
  <si>
    <t>July</t>
  </si>
  <si>
    <t>August</t>
  </si>
  <si>
    <t>September</t>
  </si>
  <si>
    <t>October</t>
  </si>
  <si>
    <t>November</t>
  </si>
  <si>
    <t>December</t>
  </si>
  <si>
    <t>January</t>
  </si>
  <si>
    <t>February</t>
  </si>
  <si>
    <t>March</t>
  </si>
  <si>
    <t>Order Status</t>
  </si>
  <si>
    <t>Loss</t>
  </si>
  <si>
    <t>Sum of Amount</t>
  </si>
  <si>
    <t>Loss Orders</t>
  </si>
  <si>
    <t>Profit Orders</t>
  </si>
  <si>
    <t>Sum of Profit</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</si>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</sst>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3" formatCode="_ * #,##0.00_ ;_ * \-#,##0.00_ ;_ * &quot;-&quot;??_ ;_ @_ "/>
    <numFmt numFmtId="164" formatCode="&quot;₹&quot;\ #,##0;#,##0\ \-&quot;₹&quot;;&quot;₹&quot;\ #,##0"/>
    <numFmt numFmtId="165" formatCode="0.0%;\-0.0%;0.0%"/>
    <numFmt numFmtId="166" formatCode="#,##0.0"/>
    <numFmt numFmtId="167" formatCode="&quot;₹&quot;\ #,###.0,&quot;k&quot;"/>
    <numFmt numFmtId="168" formatCode="_ * #,##0_ ;_ * \-#,##0_ ;_ * &quot;-&quot;??_ ;_ @_ "/>
    <numFmt numFmtId="169" formatCode="0.0%"/>
    <numFmt numFmtId="170" formatCode="0.0"/>
    <numFmt numFmtId="171" formatCode="&quot;₹&quot;\ #,##0"/>
    <numFmt numFmtId="172" formatCode="&quot;₹&quot;\ #,##0.0"/>
  </numFmts>
  <fonts count="4" x14ac:knownFonts="1">
    <font>
      <sz val="11"/>
      <color theme="1"/>
      <name val="Aptos"/>
      <family val="2"/>
      <scheme val="minor"/>
    </font>
    <font>
      <sz val="11"/>
      <color theme="1"/>
      <name val="Aptos"/>
      <family val="2"/>
      <scheme val="minor"/>
    </font>
    <font>
      <b/>
      <sz val="11"/>
      <color theme="1"/>
      <name val="Aptos"/>
      <family val="2"/>
      <scheme val="minor"/>
    </font>
    <font>
      <sz val="8"/>
      <name val="Aptos"/>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8">
    <xf numFmtId="0" fontId="0" fillId="0" borderId="0" xfId="0"/>
    <xf numFmtId="14" fontId="0" fillId="0" borderId="0" xfId="0" applyNumberFormat="1"/>
    <xf numFmtId="164" fontId="0" fillId="0" borderId="0" xfId="0" applyNumberFormat="1"/>
    <xf numFmtId="0" fontId="2" fillId="2" borderId="1" xfId="0" applyFont="1" applyFill="1" applyBorder="1"/>
    <xf numFmtId="3" fontId="0" fillId="0" borderId="0" xfId="0" applyNumberFormat="1"/>
    <xf numFmtId="165" fontId="0" fillId="0" borderId="0" xfId="0" applyNumberFormat="1"/>
    <xf numFmtId="166" fontId="0" fillId="0" borderId="0" xfId="0" applyNumberFormat="1"/>
    <xf numFmtId="0" fontId="0" fillId="0" borderId="0" xfId="0" pivotButton="1"/>
    <xf numFmtId="167" fontId="0" fillId="0" borderId="0" xfId="0" applyNumberFormat="1"/>
    <xf numFmtId="168" fontId="0" fillId="0" borderId="0" xfId="1" applyNumberFormat="1" applyFont="1"/>
    <xf numFmtId="169" fontId="0" fillId="0" borderId="0" xfId="2" applyNumberFormat="1" applyFont="1"/>
    <xf numFmtId="170" fontId="0" fillId="0" borderId="0" xfId="0" applyNumberFormat="1"/>
    <xf numFmtId="1" fontId="0" fillId="0" borderId="0" xfId="0" applyNumberFormat="1"/>
    <xf numFmtId="171" fontId="0" fillId="0" borderId="0" xfId="0" applyNumberFormat="1"/>
    <xf numFmtId="0" fontId="0" fillId="0" borderId="0" xfId="0" applyAlignment="1">
      <alignment horizontal="left"/>
    </xf>
    <xf numFmtId="169" fontId="0" fillId="0" borderId="0" xfId="0" applyNumberFormat="1"/>
    <xf numFmtId="172" fontId="0" fillId="0" borderId="0" xfId="0" applyNumberFormat="1"/>
    <xf numFmtId="167" fontId="0" fillId="0" borderId="0" xfId="0" pivotButton="1" applyNumberFormat="1"/>
  </cellXfs>
  <cellStyles count="3">
    <cellStyle name="Comma" xfId="1" builtinId="3"/>
    <cellStyle name="Normal" xfId="0" builtinId="0"/>
    <cellStyle name="Percent" xfId="2" builtinId="5"/>
  </cellStyles>
  <dxfs count="22">
    <dxf>
      <numFmt numFmtId="171" formatCode="&quot;₹&quot;\ #,##0"/>
    </dxf>
    <dxf>
      <numFmt numFmtId="169" formatCode="0.0%"/>
    </dxf>
    <dxf>
      <numFmt numFmtId="14" formatCode="0.00%"/>
    </dxf>
    <dxf>
      <numFmt numFmtId="167" formatCode="&quot;₹&quot;\ #,###.0,&quot;k&quot;"/>
    </dxf>
    <dxf>
      <numFmt numFmtId="167" formatCode="&quot;₹&quot;\ #,###.0,&quot;k&quot;"/>
    </dxf>
    <dxf>
      <numFmt numFmtId="167" formatCode="&quot;₹&quot;\ #,###.0,&quot;k&quot;"/>
    </dxf>
    <dxf>
      <numFmt numFmtId="167" formatCode="&quot;₹&quot;\ #,###.0,&quot;k&quot;"/>
    </dxf>
    <dxf>
      <numFmt numFmtId="169" formatCode="0.0%"/>
    </dxf>
    <dxf>
      <numFmt numFmtId="167" formatCode="&quot;₹&quot;\ #,###.0,&quot;k&quot;"/>
    </dxf>
    <dxf>
      <numFmt numFmtId="167" formatCode="&quot;₹&quot;\ #,###.0,&quot;k&quot;"/>
    </dxf>
    <dxf>
      <numFmt numFmtId="169" formatCode="0.0%"/>
    </dxf>
    <dxf>
      <numFmt numFmtId="172" formatCode="&quot;₹&quot;\ #,##0.0"/>
    </dxf>
    <dxf>
      <numFmt numFmtId="167" formatCode="&quot;₹&quot;\ #,###.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fill>
        <patternFill>
          <bgColor theme="5" tint="0.79998168889431442"/>
        </patternFill>
      </fill>
    </dxf>
  </dxfs>
  <tableStyles count="1" defaultTableStyle="TableStyleMedium2" defaultPivotStyle="PivotStyleLight16">
    <tableStyle name="Slicer Style 1" pivot="0" table="0" count="1" xr9:uid="{9D5DBA86-FED0-4D6D-8CE1-70BD1A9D1C05}">
      <tableStyleElement type="wholeTable" dxfId="21"/>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theme" Target="theme/theme1.xml"/><Relationship Id="rId29" Type="http://schemas.openxmlformats.org/officeDocument/2006/relationships/customXml" Target="../customXml/item3.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heetMetadata" Target="metadata.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pivotCacheDefinition" Target="pivotCache/pivotCacheDefinition6.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56" Type="http://schemas.openxmlformats.org/officeDocument/2006/relationships/customXml" Target="../customXml/item30.xml"/><Relationship Id="rId8" Type="http://schemas.openxmlformats.org/officeDocument/2006/relationships/pivotCacheDefinition" Target="pivotCache/pivotCacheDefinition4.xml"/><Relationship Id="rId51" Type="http://schemas.openxmlformats.org/officeDocument/2006/relationships/customXml" Target="../customXml/item2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dashboard.xlsx]Pivot!Sales &amp; Quantity by Month</c:name>
    <c:fmtId val="2"/>
  </c:pivotSource>
  <c:chart>
    <c:title>
      <c:tx>
        <c:rich>
          <a:bodyPr rot="0" spcFirstLastPara="1" vertOverflow="ellipsis" vert="horz" wrap="square" anchor="ctr" anchorCtr="1"/>
          <a:lstStyle/>
          <a:p>
            <a:pPr>
              <a:defRPr sz="1100" b="1" i="0" u="none" strike="noStrike" kern="1200" spc="0" baseline="0">
                <a:solidFill>
                  <a:srgbClr val="C00000"/>
                </a:solidFill>
                <a:latin typeface="+mn-lt"/>
                <a:ea typeface="+mn-ea"/>
                <a:cs typeface="+mn-cs"/>
              </a:defRPr>
            </a:pPr>
            <a:r>
              <a:rPr lang="en-IN" sz="1100" b="1">
                <a:solidFill>
                  <a:srgbClr val="C00000"/>
                </a:solidFill>
              </a:rPr>
              <a:t>Sales by Amount &amp; Quantity</a:t>
            </a:r>
          </a:p>
        </c:rich>
      </c:tx>
      <c:layout>
        <c:manualLayout>
          <c:xMode val="edge"/>
          <c:yMode val="edge"/>
          <c:x val="0.26097531691517284"/>
          <c:y val="3.5587188612099648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C00000"/>
              </a:solidFill>
              <a:latin typeface="+mn-lt"/>
              <a:ea typeface="+mn-ea"/>
              <a:cs typeface="+mn-cs"/>
            </a:defRPr>
          </a:pPr>
          <a:endParaRPr lang="en-US"/>
        </a:p>
      </c:txPr>
    </c:title>
    <c:autoTitleDeleted val="0"/>
    <c:pivotFmts>
      <c:pivotFmt>
        <c:idx val="0"/>
        <c:spPr>
          <a:gradFill>
            <a:gsLst>
              <a:gs pos="0">
                <a:schemeClr val="accent2">
                  <a:lumMod val="20000"/>
                  <a:lumOff val="80000"/>
                </a:schemeClr>
              </a:gs>
              <a:gs pos="100000">
                <a:schemeClr val="accent2">
                  <a:lumMod val="64000"/>
                  <a:lumOff val="36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1750" cap="rnd" cmpd="sng">
            <a:solidFill>
              <a:schemeClr val="accent2"/>
            </a:solidFill>
            <a:round/>
          </a:ln>
          <a:effectLst/>
        </c:spPr>
        <c:marker>
          <c:symbol val="circle"/>
          <c:size val="6"/>
          <c:spPr>
            <a:solidFill>
              <a:schemeClr val="bg1">
                <a:alpha val="99000"/>
              </a:schemeClr>
            </a:solidFill>
            <a:ln w="1587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20000"/>
                  <a:lumOff val="80000"/>
                </a:schemeClr>
              </a:gs>
              <a:gs pos="100000">
                <a:schemeClr val="accent2">
                  <a:lumMod val="64000"/>
                  <a:lumOff val="36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1750" cap="rnd" cmpd="sng">
            <a:solidFill>
              <a:schemeClr val="accent1"/>
            </a:solidFill>
            <a:round/>
          </a:ln>
          <a:effectLst/>
        </c:spPr>
        <c:marker>
          <c:symbol val="circle"/>
          <c:size val="6"/>
          <c:spPr>
            <a:solidFill>
              <a:schemeClr val="bg1">
                <a:alpha val="99000"/>
              </a:schemeClr>
            </a:solidFill>
            <a:ln w="1587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2">
                  <a:lumMod val="20000"/>
                  <a:lumOff val="80000"/>
                </a:schemeClr>
              </a:gs>
              <a:gs pos="100000">
                <a:schemeClr val="accent2">
                  <a:lumMod val="64000"/>
                  <a:lumOff val="36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cmpd="sng">
            <a:solidFill>
              <a:schemeClr val="accent1"/>
            </a:solidFill>
            <a:round/>
          </a:ln>
          <a:effectLst/>
        </c:spPr>
        <c:marker>
          <c:symbol val="circle"/>
          <c:size val="6"/>
          <c:spPr>
            <a:solidFill>
              <a:schemeClr val="bg1">
                <a:alpha val="99000"/>
              </a:schemeClr>
            </a:solidFill>
            <a:ln w="1587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c:f>
              <c:strCache>
                <c:ptCount val="1"/>
                <c:pt idx="0">
                  <c:v>Total Sales</c:v>
                </c:pt>
              </c:strCache>
            </c:strRef>
          </c:tx>
          <c:spPr>
            <a:gradFill>
              <a:gsLst>
                <a:gs pos="0">
                  <a:schemeClr val="accent2">
                    <a:lumMod val="20000"/>
                    <a:lumOff val="80000"/>
                  </a:schemeClr>
                </a:gs>
                <a:gs pos="100000">
                  <a:schemeClr val="accent2">
                    <a:lumMod val="64000"/>
                    <a:lumOff val="36000"/>
                  </a:schemeClr>
                </a:gs>
              </a:gsLst>
              <a:lin ang="5400000" scaled="1"/>
            </a:gradFill>
            <a:ln>
              <a:noFill/>
            </a:ln>
            <a:effectLst/>
          </c:spPr>
          <c:invertIfNegative val="0"/>
          <c:cat>
            <c:strRef>
              <c:f>Pivot!$A$12:$A$23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Pivot!$B$12:$B$23</c:f>
              <c:numCache>
                <c:formatCode>"₹"\ #,###.0,"k"</c:formatCode>
                <c:ptCount val="12"/>
                <c:pt idx="0">
                  <c:v>61439</c:v>
                </c:pt>
                <c:pt idx="1">
                  <c:v>38424</c:v>
                </c:pt>
                <c:pt idx="2">
                  <c:v>58937</c:v>
                </c:pt>
                <c:pt idx="3">
                  <c:v>32726</c:v>
                </c:pt>
                <c:pt idx="4">
                  <c:v>28545</c:v>
                </c:pt>
                <c:pt idx="5">
                  <c:v>23658</c:v>
                </c:pt>
                <c:pt idx="6">
                  <c:v>12966</c:v>
                </c:pt>
                <c:pt idx="7">
                  <c:v>30899</c:v>
                </c:pt>
                <c:pt idx="8">
                  <c:v>26628</c:v>
                </c:pt>
                <c:pt idx="9">
                  <c:v>31615</c:v>
                </c:pt>
                <c:pt idx="10">
                  <c:v>48086</c:v>
                </c:pt>
                <c:pt idx="11">
                  <c:v>37579</c:v>
                </c:pt>
              </c:numCache>
            </c:numRef>
          </c:val>
          <c:extLst>
            <c:ext xmlns:c16="http://schemas.microsoft.com/office/drawing/2014/chart" uri="{C3380CC4-5D6E-409C-BE32-E72D297353CC}">
              <c16:uniqueId val="{00000000-B573-45A7-A540-DA06B38D65CA}"/>
            </c:ext>
          </c:extLst>
        </c:ser>
        <c:dLbls>
          <c:showLegendKey val="0"/>
          <c:showVal val="0"/>
          <c:showCatName val="0"/>
          <c:showSerName val="0"/>
          <c:showPercent val="0"/>
          <c:showBubbleSize val="0"/>
        </c:dLbls>
        <c:gapWidth val="20"/>
        <c:axId val="1212532472"/>
        <c:axId val="1212540392"/>
      </c:barChart>
      <c:lineChart>
        <c:grouping val="standard"/>
        <c:varyColors val="0"/>
        <c:ser>
          <c:idx val="1"/>
          <c:order val="1"/>
          <c:tx>
            <c:strRef>
              <c:f>Pivot!$C$11</c:f>
              <c:strCache>
                <c:ptCount val="1"/>
                <c:pt idx="0">
                  <c:v>Total Quantity</c:v>
                </c:pt>
              </c:strCache>
            </c:strRef>
          </c:tx>
          <c:spPr>
            <a:ln w="31750" cap="rnd" cmpd="sng">
              <a:solidFill>
                <a:schemeClr val="accent2"/>
              </a:solidFill>
              <a:round/>
            </a:ln>
            <a:effectLst/>
          </c:spPr>
          <c:marker>
            <c:symbol val="circle"/>
            <c:size val="6"/>
            <c:spPr>
              <a:solidFill>
                <a:schemeClr val="bg1">
                  <a:alpha val="99000"/>
                </a:schemeClr>
              </a:solidFill>
              <a:ln w="15875">
                <a:solidFill>
                  <a:schemeClr val="accent2"/>
                </a:solidFill>
              </a:ln>
              <a:effectLst/>
            </c:spPr>
          </c:marker>
          <c:cat>
            <c:strRef>
              <c:f>Pivot!$A$12:$A$23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Pivot!$C$12:$C$23</c:f>
              <c:numCache>
                <c:formatCode>#,##0</c:formatCode>
                <c:ptCount val="12"/>
                <c:pt idx="0">
                  <c:v>745</c:v>
                </c:pt>
                <c:pt idx="1">
                  <c:v>512</c:v>
                </c:pt>
                <c:pt idx="2">
                  <c:v>751</c:v>
                </c:pt>
                <c:pt idx="3">
                  <c:v>389</c:v>
                </c:pt>
                <c:pt idx="4">
                  <c:v>423</c:v>
                </c:pt>
                <c:pt idx="5">
                  <c:v>369</c:v>
                </c:pt>
                <c:pt idx="6">
                  <c:v>240</c:v>
                </c:pt>
                <c:pt idx="7">
                  <c:v>446</c:v>
                </c:pt>
                <c:pt idx="8">
                  <c:v>331</c:v>
                </c:pt>
                <c:pt idx="9">
                  <c:v>419</c:v>
                </c:pt>
                <c:pt idx="10">
                  <c:v>578</c:v>
                </c:pt>
                <c:pt idx="11">
                  <c:v>412</c:v>
                </c:pt>
              </c:numCache>
            </c:numRef>
          </c:val>
          <c:smooth val="0"/>
          <c:extLst>
            <c:ext xmlns:c16="http://schemas.microsoft.com/office/drawing/2014/chart" uri="{C3380CC4-5D6E-409C-BE32-E72D297353CC}">
              <c16:uniqueId val="{00000001-B573-45A7-A540-DA06B38D65CA}"/>
            </c:ext>
          </c:extLst>
        </c:ser>
        <c:dLbls>
          <c:showLegendKey val="0"/>
          <c:showVal val="0"/>
          <c:showCatName val="0"/>
          <c:showSerName val="0"/>
          <c:showPercent val="0"/>
          <c:showBubbleSize val="0"/>
        </c:dLbls>
        <c:marker val="1"/>
        <c:smooth val="0"/>
        <c:axId val="262342735"/>
        <c:axId val="262342375"/>
      </c:lineChart>
      <c:catAx>
        <c:axId val="1212532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540392"/>
        <c:crosses val="autoZero"/>
        <c:auto val="1"/>
        <c:lblAlgn val="ctr"/>
        <c:lblOffset val="100"/>
        <c:noMultiLvlLbl val="0"/>
      </c:catAx>
      <c:valAx>
        <c:axId val="12125403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532472"/>
        <c:crosses val="autoZero"/>
        <c:crossBetween val="between"/>
      </c:valAx>
      <c:valAx>
        <c:axId val="26234237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342735"/>
        <c:crosses val="max"/>
        <c:crossBetween val="between"/>
      </c:valAx>
      <c:catAx>
        <c:axId val="262342735"/>
        <c:scaling>
          <c:orientation val="minMax"/>
        </c:scaling>
        <c:delete val="1"/>
        <c:axPos val="b"/>
        <c:numFmt formatCode="General" sourceLinked="1"/>
        <c:majorTickMark val="out"/>
        <c:minorTickMark val="none"/>
        <c:tickLblPos val="nextTo"/>
        <c:crossAx val="26234237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dashboard.xlsx]Pivot!Share of Profit &amp; Loss oders</c:name>
    <c:fmtId val="6"/>
  </c:pivotSource>
  <c:chart>
    <c:title>
      <c:tx>
        <c:rich>
          <a:bodyPr rot="0" spcFirstLastPara="1" vertOverflow="ellipsis" vert="horz" wrap="square" anchor="ctr" anchorCtr="1"/>
          <a:lstStyle/>
          <a:p>
            <a:pPr>
              <a:defRPr sz="1100" b="1" i="0" u="none" strike="noStrike" kern="1200" spc="0" baseline="0">
                <a:solidFill>
                  <a:srgbClr val="C00000"/>
                </a:solidFill>
                <a:latin typeface="+mn-lt"/>
                <a:ea typeface="+mn-ea"/>
                <a:cs typeface="+mn-cs"/>
              </a:defRPr>
            </a:pPr>
            <a:r>
              <a:rPr lang="en-IN" sz="1100" b="1" i="0" u="none" strike="noStrike" baseline="0"/>
              <a:t>Profitable vs Loss-Making Orders</a:t>
            </a:r>
            <a:endParaRPr lang="en-US" sz="1100" b="1">
              <a:solidFill>
                <a:srgbClr val="C00000"/>
              </a:solidFill>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outerShdw blurRad="50800" dist="38100" dir="2700000" algn="tl" rotWithShape="0">
              <a:schemeClr val="accent2">
                <a:lumMod val="40000"/>
                <a:lumOff val="60000"/>
                <a:alpha val="87000"/>
              </a:schemeClr>
            </a:outerShdw>
          </a:effectLst>
          <a:scene3d>
            <a:camera prst="orthographicFront"/>
            <a:lightRig rig="threePt" dir="t"/>
          </a:scene3d>
          <a:sp3d>
            <a:bevelT/>
            <a:bevelB/>
          </a:sp3d>
        </c:spPr>
        <c:marker>
          <c:symbol val="none"/>
        </c:marker>
        <c:dLbl>
          <c:idx val="0"/>
          <c:spPr>
            <a:solidFill>
              <a:schemeClr val="bg1"/>
            </a:solidFill>
            <a:ln>
              <a:noFill/>
            </a:ln>
            <a:effectLst>
              <a:softEdge rad="139700"/>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2">
                        <a:lumMod val="75000"/>
                        <a:alpha val="42000"/>
                      </a:schemeClr>
                    </a:solidFill>
                  </a:ln>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a:outerShdw blurRad="50800" dist="38100" dir="2700000" algn="tl" rotWithShape="0">
              <a:schemeClr val="accent2">
                <a:lumMod val="40000"/>
                <a:lumOff val="60000"/>
                <a:alpha val="87000"/>
              </a:schemeClr>
            </a:outerShdw>
          </a:effectLst>
          <a:scene3d>
            <a:camera prst="orthographicFront"/>
            <a:lightRig rig="threePt" dir="t"/>
          </a:scene3d>
          <a:sp3d>
            <a:bevelT/>
            <a:bevelB/>
          </a:sp3d>
        </c:spPr>
        <c:dLbl>
          <c:idx val="0"/>
          <c:layout>
            <c:manualLayout>
              <c:x val="-2.4252187226596573E-2"/>
              <c:y val="-0.13258457276173816"/>
            </c:manualLayout>
          </c:layout>
          <c:spPr>
            <a:solidFill>
              <a:schemeClr val="bg1"/>
            </a:solidFill>
            <a:ln>
              <a:noFill/>
            </a:ln>
            <a:effectLst>
              <a:softEdge rad="139700"/>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2">
                        <a:lumMod val="75000"/>
                        <a:alpha val="42000"/>
                      </a:schemeClr>
                    </a:solidFill>
                  </a:ln>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a:outerShdw blurRad="50800" dist="38100" dir="2700000" algn="tl" rotWithShape="0">
              <a:schemeClr val="accent2">
                <a:lumMod val="40000"/>
                <a:lumOff val="60000"/>
                <a:alpha val="87000"/>
              </a:schemeClr>
            </a:outerShdw>
          </a:effectLst>
          <a:scene3d>
            <a:camera prst="orthographicFront"/>
            <a:lightRig rig="threePt" dir="t"/>
          </a:scene3d>
          <a:sp3d>
            <a:bevelT/>
            <a:bevelB/>
          </a:sp3d>
        </c:spPr>
        <c:dLbl>
          <c:idx val="0"/>
          <c:layout>
            <c:manualLayout>
              <c:x val="2.3578083989501314E-2"/>
              <c:y val="0.13699803149606291"/>
            </c:manualLayout>
          </c:layout>
          <c:spPr>
            <a:solidFill>
              <a:schemeClr val="bg1"/>
            </a:solidFill>
            <a:ln>
              <a:noFill/>
            </a:ln>
            <a:effectLst>
              <a:softEdge rad="139700"/>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2">
                        <a:lumMod val="75000"/>
                        <a:alpha val="42000"/>
                      </a:schemeClr>
                    </a:solidFill>
                  </a:ln>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a:outerShdw blurRad="50800" dist="38100" dir="2700000" algn="tl" rotWithShape="0">
              <a:schemeClr val="accent2">
                <a:lumMod val="40000"/>
                <a:lumOff val="60000"/>
                <a:alpha val="87000"/>
              </a:schemeClr>
            </a:outerShdw>
          </a:effectLst>
          <a:scene3d>
            <a:camera prst="orthographicFront"/>
            <a:lightRig rig="threePt" dir="t"/>
          </a:scene3d>
          <a:sp3d>
            <a:bevelT/>
            <a:bevelB/>
          </a:sp3d>
        </c:spPr>
        <c:marker>
          <c:symbol val="none"/>
        </c:marker>
        <c:dLbl>
          <c:idx val="0"/>
          <c:spPr>
            <a:solidFill>
              <a:schemeClr val="bg1"/>
            </a:solidFill>
            <a:ln>
              <a:noFill/>
            </a:ln>
            <a:effectLst>
              <a:softEdge rad="139700"/>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2">
                        <a:lumMod val="75000"/>
                        <a:alpha val="42000"/>
                      </a:schemeClr>
                    </a:solidFill>
                  </a:ln>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a:outerShdw blurRad="50800" dist="38100" dir="2700000" algn="tl" rotWithShape="0">
              <a:schemeClr val="accent2">
                <a:lumMod val="40000"/>
                <a:lumOff val="60000"/>
                <a:alpha val="87000"/>
              </a:schemeClr>
            </a:outerShdw>
          </a:effectLst>
          <a:scene3d>
            <a:camera prst="orthographicFront"/>
            <a:lightRig rig="threePt" dir="t"/>
          </a:scene3d>
          <a:sp3d>
            <a:bevelT/>
            <a:bevelB/>
          </a:sp3d>
        </c:spPr>
        <c:dLbl>
          <c:idx val="0"/>
          <c:layout>
            <c:manualLayout>
              <c:x val="-2.4252187226596573E-2"/>
              <c:y val="-0.13258457276173816"/>
            </c:manualLayout>
          </c:layout>
          <c:spPr>
            <a:solidFill>
              <a:schemeClr val="bg1"/>
            </a:solidFill>
            <a:ln>
              <a:noFill/>
            </a:ln>
            <a:effectLst>
              <a:softEdge rad="139700"/>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2">
                        <a:lumMod val="75000"/>
                        <a:alpha val="42000"/>
                      </a:schemeClr>
                    </a:solidFill>
                  </a:ln>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outerShdw blurRad="50800" dist="38100" dir="2700000" algn="tl" rotWithShape="0">
              <a:schemeClr val="accent2">
                <a:lumMod val="40000"/>
                <a:lumOff val="60000"/>
                <a:alpha val="87000"/>
              </a:schemeClr>
            </a:outerShdw>
          </a:effectLst>
          <a:scene3d>
            <a:camera prst="orthographicFront"/>
            <a:lightRig rig="threePt" dir="t"/>
          </a:scene3d>
          <a:sp3d>
            <a:bevelT/>
            <a:bevelB/>
          </a:sp3d>
        </c:spPr>
        <c:dLbl>
          <c:idx val="0"/>
          <c:layout>
            <c:manualLayout>
              <c:x val="2.3578083989501314E-2"/>
              <c:y val="0.13699803149606291"/>
            </c:manualLayout>
          </c:layout>
          <c:spPr>
            <a:solidFill>
              <a:schemeClr val="bg1"/>
            </a:solidFill>
            <a:ln>
              <a:noFill/>
            </a:ln>
            <a:effectLst>
              <a:softEdge rad="139700"/>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2">
                        <a:lumMod val="75000"/>
                        <a:alpha val="42000"/>
                      </a:schemeClr>
                    </a:solidFill>
                  </a:ln>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outerShdw blurRad="50800" dist="38100" dir="2700000" algn="tl" rotWithShape="0">
              <a:schemeClr val="accent2">
                <a:lumMod val="40000"/>
                <a:lumOff val="60000"/>
                <a:alpha val="87000"/>
              </a:schemeClr>
            </a:outerShdw>
          </a:effectLst>
          <a:scene3d>
            <a:camera prst="orthographicFront"/>
            <a:lightRig rig="threePt" dir="t"/>
          </a:scene3d>
          <a:sp3d>
            <a:bevelT/>
            <a:bevelB/>
          </a:sp3d>
        </c:spPr>
        <c:marker>
          <c:symbol val="none"/>
        </c:marker>
        <c:dLbl>
          <c:idx val="0"/>
          <c:spPr>
            <a:solidFill>
              <a:schemeClr val="bg1"/>
            </a:solidFill>
            <a:ln>
              <a:noFill/>
            </a:ln>
            <a:effectLst>
              <a:softEdge rad="139700"/>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2">
                        <a:lumMod val="75000"/>
                        <a:alpha val="42000"/>
                      </a:schemeClr>
                    </a:solidFill>
                  </a:ln>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lumMod val="20000"/>
              <a:lumOff val="80000"/>
              <a:alpha val="84000"/>
            </a:schemeClr>
          </a:solidFill>
          <a:ln w="19050">
            <a:solidFill>
              <a:schemeClr val="lt1"/>
            </a:solidFill>
          </a:ln>
          <a:effectLst>
            <a:outerShdw blurRad="50800" dist="38100" dir="2700000" algn="tl" rotWithShape="0">
              <a:schemeClr val="accent2">
                <a:lumMod val="40000"/>
                <a:lumOff val="60000"/>
                <a:alpha val="87000"/>
              </a:schemeClr>
            </a:outerShdw>
          </a:effectLst>
          <a:scene3d>
            <a:camera prst="orthographicFront"/>
            <a:lightRig rig="threePt" dir="t"/>
          </a:scene3d>
          <a:sp3d>
            <a:bevelT/>
            <a:bevelB/>
          </a:sp3d>
        </c:spPr>
        <c:dLbl>
          <c:idx val="0"/>
          <c:layout>
            <c:manualLayout>
              <c:x val="-2.4252187226596573E-2"/>
              <c:y val="-0.13258457276173816"/>
            </c:manualLayout>
          </c:layout>
          <c:spPr>
            <a:solidFill>
              <a:schemeClr val="bg1"/>
            </a:solidFill>
            <a:ln>
              <a:noFill/>
            </a:ln>
            <a:effectLst>
              <a:softEdge rad="139700"/>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2">
                        <a:lumMod val="75000"/>
                        <a:alpha val="42000"/>
                      </a:schemeClr>
                    </a:solidFill>
                  </a:ln>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a:outerShdw blurRad="50800" dist="38100" dir="2700000" algn="tl" rotWithShape="0">
              <a:schemeClr val="accent2">
                <a:lumMod val="40000"/>
                <a:lumOff val="60000"/>
                <a:alpha val="87000"/>
              </a:schemeClr>
            </a:outerShdw>
          </a:effectLst>
          <a:scene3d>
            <a:camera prst="orthographicFront"/>
            <a:lightRig rig="threePt" dir="t"/>
          </a:scene3d>
          <a:sp3d>
            <a:bevelT/>
            <a:bevelB/>
          </a:sp3d>
        </c:spPr>
        <c:dLbl>
          <c:idx val="0"/>
          <c:layout>
            <c:manualLayout>
              <c:x val="2.3578083989501314E-2"/>
              <c:y val="0.13699803149606291"/>
            </c:manualLayout>
          </c:layout>
          <c:spPr>
            <a:solidFill>
              <a:schemeClr val="bg1"/>
            </a:solidFill>
            <a:ln>
              <a:noFill/>
            </a:ln>
            <a:effectLst>
              <a:softEdge rad="139700"/>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2">
                        <a:lumMod val="75000"/>
                        <a:alpha val="42000"/>
                      </a:schemeClr>
                    </a:solidFill>
                  </a:ln>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Pivot!$B$27</c:f>
              <c:strCache>
                <c:ptCount val="1"/>
                <c:pt idx="0">
                  <c:v>Total</c:v>
                </c:pt>
              </c:strCache>
            </c:strRef>
          </c:tx>
          <c:spPr>
            <a:effectLst>
              <a:outerShdw blurRad="50800" dist="38100" dir="2700000" algn="tl" rotWithShape="0">
                <a:schemeClr val="accent2">
                  <a:lumMod val="40000"/>
                  <a:lumOff val="60000"/>
                  <a:alpha val="87000"/>
                </a:schemeClr>
              </a:outerShdw>
            </a:effectLst>
            <a:scene3d>
              <a:camera prst="orthographicFront"/>
              <a:lightRig rig="threePt" dir="t"/>
            </a:scene3d>
            <a:sp3d>
              <a:bevelT/>
              <a:bevelB/>
            </a:sp3d>
          </c:spPr>
          <c:explosion val="3"/>
          <c:dPt>
            <c:idx val="0"/>
            <c:bubble3D val="0"/>
            <c:spPr>
              <a:solidFill>
                <a:schemeClr val="accent1">
                  <a:lumMod val="20000"/>
                  <a:lumOff val="80000"/>
                  <a:alpha val="84000"/>
                </a:schemeClr>
              </a:solidFill>
              <a:ln w="19050">
                <a:solidFill>
                  <a:schemeClr val="lt1"/>
                </a:solidFill>
              </a:ln>
              <a:effectLst>
                <a:outerShdw blurRad="50800" dist="38100" dir="2700000" algn="tl" rotWithShape="0">
                  <a:schemeClr val="accent2">
                    <a:lumMod val="40000"/>
                    <a:lumOff val="60000"/>
                    <a:alpha val="87000"/>
                  </a:schemeClr>
                </a:outerShdw>
              </a:effectLst>
              <a:scene3d>
                <a:camera prst="orthographicFront"/>
                <a:lightRig rig="threePt" dir="t"/>
              </a:scene3d>
              <a:sp3d>
                <a:bevelT/>
                <a:bevelB/>
              </a:sp3d>
            </c:spPr>
            <c:extLst>
              <c:ext xmlns:c16="http://schemas.microsoft.com/office/drawing/2014/chart" uri="{C3380CC4-5D6E-409C-BE32-E72D297353CC}">
                <c16:uniqueId val="{00000001-1D19-4725-B164-7B3F8F16358A}"/>
              </c:ext>
            </c:extLst>
          </c:dPt>
          <c:dPt>
            <c:idx val="1"/>
            <c:bubble3D val="0"/>
            <c:spPr>
              <a:solidFill>
                <a:schemeClr val="accent2"/>
              </a:solidFill>
              <a:ln w="19050">
                <a:solidFill>
                  <a:schemeClr val="lt1"/>
                </a:solidFill>
              </a:ln>
              <a:effectLst>
                <a:outerShdw blurRad="50800" dist="38100" dir="2700000" algn="tl" rotWithShape="0">
                  <a:schemeClr val="accent2">
                    <a:lumMod val="40000"/>
                    <a:lumOff val="60000"/>
                    <a:alpha val="87000"/>
                  </a:schemeClr>
                </a:outerShdw>
              </a:effectLst>
              <a:scene3d>
                <a:camera prst="orthographicFront"/>
                <a:lightRig rig="threePt" dir="t"/>
              </a:scene3d>
              <a:sp3d>
                <a:bevelT/>
                <a:bevelB/>
              </a:sp3d>
            </c:spPr>
            <c:extLst>
              <c:ext xmlns:c16="http://schemas.microsoft.com/office/drawing/2014/chart" uri="{C3380CC4-5D6E-409C-BE32-E72D297353CC}">
                <c16:uniqueId val="{00000003-1D19-4725-B164-7B3F8F16358A}"/>
              </c:ext>
            </c:extLst>
          </c:dPt>
          <c:dLbls>
            <c:dLbl>
              <c:idx val="0"/>
              <c:layout>
                <c:manualLayout>
                  <c:x val="-2.4252187226596573E-2"/>
                  <c:y val="-0.1325845727617381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D19-4725-B164-7B3F8F16358A}"/>
                </c:ext>
              </c:extLst>
            </c:dLbl>
            <c:dLbl>
              <c:idx val="1"/>
              <c:layout>
                <c:manualLayout>
                  <c:x val="2.3578083989501314E-2"/>
                  <c:y val="0.13699803149606291"/>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D19-4725-B164-7B3F8F16358A}"/>
                </c:ext>
              </c:extLst>
            </c:dLbl>
            <c:spPr>
              <a:solidFill>
                <a:schemeClr val="bg1"/>
              </a:solidFill>
              <a:ln>
                <a:noFill/>
              </a:ln>
              <a:effectLst>
                <a:softEdge rad="139700"/>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2">
                          <a:lumMod val="75000"/>
                          <a:alpha val="42000"/>
                        </a:schemeClr>
                      </a:solidFill>
                    </a:ln>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Pivot!$A$28:$A$29</c:f>
              <c:strCache>
                <c:ptCount val="2"/>
                <c:pt idx="0">
                  <c:v>Loss</c:v>
                </c:pt>
                <c:pt idx="1">
                  <c:v>Profit</c:v>
                </c:pt>
              </c:strCache>
            </c:strRef>
          </c:cat>
          <c:val>
            <c:numRef>
              <c:f>Pivot!$B$28:$B$29</c:f>
              <c:numCache>
                <c:formatCode>0.0%</c:formatCode>
                <c:ptCount val="2"/>
                <c:pt idx="0">
                  <c:v>0.32800000000000001</c:v>
                </c:pt>
                <c:pt idx="1">
                  <c:v>0.67200000000000004</c:v>
                </c:pt>
              </c:numCache>
            </c:numRef>
          </c:val>
          <c:extLst>
            <c:ext xmlns:c16="http://schemas.microsoft.com/office/drawing/2014/chart" uri="{C3380CC4-5D6E-409C-BE32-E72D297353CC}">
              <c16:uniqueId val="{00000004-1D19-4725-B164-7B3F8F16358A}"/>
            </c:ext>
          </c:extLst>
        </c:ser>
        <c:dLbls>
          <c:showLegendKey val="0"/>
          <c:showVal val="1"/>
          <c:showCatName val="0"/>
          <c:showSerName val="0"/>
          <c:showPercent val="0"/>
          <c:showBubbleSize val="0"/>
          <c:showLeaderLines val="1"/>
        </c:dLbls>
        <c:firstSliceAng val="29"/>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dashboard.xlsx]Pivot!Product sub category sales</c:name>
    <c:fmtId val="11"/>
  </c:pivotSource>
  <c:chart>
    <c:title>
      <c:tx>
        <c:rich>
          <a:bodyPr rot="0" spcFirstLastPara="1" vertOverflow="ellipsis" vert="horz" wrap="square" anchor="ctr" anchorCtr="1"/>
          <a:lstStyle/>
          <a:p>
            <a:pPr algn="ctr">
              <a:defRPr sz="1050" b="1" i="0" u="none" strike="noStrike" kern="1200" spc="0" baseline="0">
                <a:solidFill>
                  <a:srgbClr val="C00000"/>
                </a:solidFill>
                <a:latin typeface="+mn-lt"/>
                <a:ea typeface="+mn-ea"/>
                <a:cs typeface="+mn-cs"/>
              </a:defRPr>
            </a:pPr>
            <a:r>
              <a:rPr lang="en-US" sz="1050" b="1">
                <a:solidFill>
                  <a:srgbClr val="C00000"/>
                </a:solidFill>
              </a:rPr>
              <a:t>Sub-category</a:t>
            </a:r>
            <a:r>
              <a:rPr lang="en-US" sz="1050" b="1" baseline="0">
                <a:solidFill>
                  <a:srgbClr val="C00000"/>
                </a:solidFill>
              </a:rPr>
              <a:t> Sales </a:t>
            </a:r>
            <a:endParaRPr lang="en-US" sz="1050" b="1">
              <a:solidFill>
                <a:srgbClr val="C00000"/>
              </a:solidFill>
            </a:endParaRPr>
          </a:p>
        </c:rich>
      </c:tx>
      <c:layout>
        <c:manualLayout>
          <c:xMode val="edge"/>
          <c:yMode val="edge"/>
          <c:x val="0.34992014296085328"/>
          <c:y val="3.7037037037037035E-2"/>
        </c:manualLayout>
      </c:layout>
      <c:overlay val="0"/>
      <c:spPr>
        <a:noFill/>
        <a:ln>
          <a:noFill/>
        </a:ln>
        <a:effectLst/>
      </c:spPr>
      <c:txPr>
        <a:bodyPr rot="0" spcFirstLastPara="1" vertOverflow="ellipsis" vert="horz" wrap="square" anchor="ctr" anchorCtr="1"/>
        <a:lstStyle/>
        <a:p>
          <a:pPr algn="ctr">
            <a:defRPr sz="1050" b="1" i="0" u="none" strike="noStrike" kern="1200" spc="0" baseline="0">
              <a:solidFill>
                <a:srgbClr val="C00000"/>
              </a:solidFill>
              <a:latin typeface="+mn-lt"/>
              <a:ea typeface="+mn-ea"/>
              <a:cs typeface="+mn-cs"/>
            </a:defRPr>
          </a:pPr>
          <a:endParaRPr lang="en-US"/>
        </a:p>
      </c:txPr>
    </c:title>
    <c:autoTitleDeleted val="0"/>
    <c:pivotFmts>
      <c:pivotFmt>
        <c:idx val="0"/>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solidFill>
              <a:schemeClr val="accent1">
                <a:shade val="15000"/>
                <a:alpha val="93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solidFill>
              <a:schemeClr val="accent1">
                <a:shade val="15000"/>
                <a:alpha val="93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Pivot!$B$77</c:f>
              <c:strCache>
                <c:ptCount val="1"/>
                <c:pt idx="0">
                  <c:v>Total</c:v>
                </c:pt>
              </c:strCache>
            </c:strRef>
          </c:tx>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Pivot!$A$78:$A$94</c:f>
              <c:strCache>
                <c:ptCount val="17"/>
                <c:pt idx="0">
                  <c:v>Printers</c:v>
                </c:pt>
                <c:pt idx="1">
                  <c:v>Bookcases</c:v>
                </c:pt>
                <c:pt idx="2">
                  <c:v>Saree</c:v>
                </c:pt>
                <c:pt idx="3">
                  <c:v>Phones</c:v>
                </c:pt>
                <c:pt idx="4">
                  <c:v>Electronic Games</c:v>
                </c:pt>
                <c:pt idx="5">
                  <c:v>Chairs</c:v>
                </c:pt>
                <c:pt idx="6">
                  <c:v>Trousers</c:v>
                </c:pt>
                <c:pt idx="7">
                  <c:v>Tables</c:v>
                </c:pt>
                <c:pt idx="8">
                  <c:v>Accessories</c:v>
                </c:pt>
                <c:pt idx="9">
                  <c:v>Stole</c:v>
                </c:pt>
                <c:pt idx="10">
                  <c:v>Hankerchief</c:v>
                </c:pt>
                <c:pt idx="11">
                  <c:v>Furnishings</c:v>
                </c:pt>
                <c:pt idx="12">
                  <c:v>Shirt</c:v>
                </c:pt>
                <c:pt idx="13">
                  <c:v>T-shirt</c:v>
                </c:pt>
                <c:pt idx="14">
                  <c:v>Kurti</c:v>
                </c:pt>
                <c:pt idx="15">
                  <c:v>Leggings</c:v>
                </c:pt>
                <c:pt idx="16">
                  <c:v>Skirt</c:v>
                </c:pt>
              </c:strCache>
            </c:strRef>
          </c:cat>
          <c:val>
            <c:numRef>
              <c:f>Pivot!$B$78:$B$94</c:f>
              <c:numCache>
                <c:formatCode>"₹"\ #,###.0,"k"</c:formatCode>
                <c:ptCount val="17"/>
                <c:pt idx="0">
                  <c:v>58252</c:v>
                </c:pt>
                <c:pt idx="1">
                  <c:v>56861</c:v>
                </c:pt>
                <c:pt idx="2">
                  <c:v>53511</c:v>
                </c:pt>
                <c:pt idx="3">
                  <c:v>46119</c:v>
                </c:pt>
                <c:pt idx="4">
                  <c:v>39168</c:v>
                </c:pt>
                <c:pt idx="5">
                  <c:v>34222</c:v>
                </c:pt>
                <c:pt idx="6">
                  <c:v>30039</c:v>
                </c:pt>
                <c:pt idx="7">
                  <c:v>22614</c:v>
                </c:pt>
                <c:pt idx="8">
                  <c:v>21728</c:v>
                </c:pt>
                <c:pt idx="9">
                  <c:v>18546</c:v>
                </c:pt>
                <c:pt idx="10">
                  <c:v>14608</c:v>
                </c:pt>
                <c:pt idx="11">
                  <c:v>13484</c:v>
                </c:pt>
                <c:pt idx="12">
                  <c:v>7555</c:v>
                </c:pt>
                <c:pt idx="13">
                  <c:v>7382</c:v>
                </c:pt>
                <c:pt idx="14">
                  <c:v>3361</c:v>
                </c:pt>
                <c:pt idx="15">
                  <c:v>2106</c:v>
                </c:pt>
                <c:pt idx="16">
                  <c:v>1946</c:v>
                </c:pt>
              </c:numCache>
            </c:numRef>
          </c:val>
          <c:extLst>
            <c:ext xmlns:c16="http://schemas.microsoft.com/office/drawing/2014/chart" uri="{C3380CC4-5D6E-409C-BE32-E72D297353CC}">
              <c16:uniqueId val="{00000000-900E-4F57-9565-B2EDA7D880D3}"/>
            </c:ext>
          </c:extLst>
        </c:ser>
        <c:dLbls>
          <c:dLblPos val="outEnd"/>
          <c:showLegendKey val="0"/>
          <c:showVal val="1"/>
          <c:showCatName val="0"/>
          <c:showSerName val="0"/>
          <c:showPercent val="0"/>
          <c:showBubbleSize val="0"/>
        </c:dLbls>
        <c:gapWidth val="32"/>
        <c:axId val="406926295"/>
        <c:axId val="406926655"/>
      </c:barChart>
      <c:catAx>
        <c:axId val="40692629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406926655"/>
        <c:crosses val="autoZero"/>
        <c:auto val="1"/>
        <c:lblAlgn val="ctr"/>
        <c:lblOffset val="100"/>
        <c:noMultiLvlLbl val="0"/>
      </c:catAx>
      <c:valAx>
        <c:axId val="406926655"/>
        <c:scaling>
          <c:orientation val="minMax"/>
        </c:scaling>
        <c:delete val="1"/>
        <c:axPos val="t"/>
        <c:numFmt formatCode="&quot;₹&quot;\ #,###.0,&quot;k&quot;" sourceLinked="1"/>
        <c:majorTickMark val="none"/>
        <c:minorTickMark val="none"/>
        <c:tickLblPos val="nextTo"/>
        <c:crossAx val="406926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dashboard.xlsx]Pivot!Sales share by Category</c:name>
    <c:fmtId val="15"/>
  </c:pivotSource>
  <c:chart>
    <c:autoTitleDeleted val="1"/>
    <c:pivotFmts>
      <c:pivotFmt>
        <c:idx val="0"/>
        <c:spPr>
          <a:solidFill>
            <a:schemeClr val="accent1"/>
          </a:solidFill>
          <a:ln w="44450">
            <a:solidFill>
              <a:schemeClr val="lt1"/>
            </a:solidFill>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3"/>
          </a:solidFill>
          <a:ln w="44450">
            <a:solidFill>
              <a:schemeClr val="lt1"/>
            </a:solidFill>
          </a:ln>
          <a:effectLst/>
        </c:spPr>
        <c:dLbl>
          <c:idx val="0"/>
          <c:layout>
            <c:manualLayout>
              <c:x val="0.16111111111111112"/>
              <c:y val="0"/>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44450">
            <a:solidFill>
              <a:schemeClr val="lt1"/>
            </a:solidFill>
          </a:ln>
          <a:effectLst/>
        </c:spPr>
        <c:dLbl>
          <c:idx val="0"/>
          <c:layout>
            <c:manualLayout>
              <c:x val="-0.17500000000000002"/>
              <c:y val="-4.6296296296296294E-3"/>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solidFill>
          <a:ln w="44450">
            <a:solidFill>
              <a:schemeClr val="lt1"/>
            </a:solidFill>
          </a:ln>
          <a:effectLst/>
        </c:spPr>
        <c:dLbl>
          <c:idx val="0"/>
          <c:layout>
            <c:manualLayout>
              <c:x val="-0.21111111111111111"/>
              <c:y val="-1.8518518518518563E-2"/>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44450">
            <a:solidFill>
              <a:schemeClr val="lt1"/>
            </a:solidFill>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44450">
            <a:solidFill>
              <a:schemeClr val="lt1"/>
            </a:solidFill>
          </a:ln>
          <a:effectLst/>
        </c:spPr>
        <c:dLbl>
          <c:idx val="0"/>
          <c:layout>
            <c:manualLayout>
              <c:x val="-0.17500000000000002"/>
              <c:y val="-4.6296296296296294E-3"/>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44450">
            <a:solidFill>
              <a:schemeClr val="lt1"/>
            </a:solidFill>
          </a:ln>
          <a:effectLst/>
        </c:spPr>
        <c:dLbl>
          <c:idx val="0"/>
          <c:layout>
            <c:manualLayout>
              <c:x val="-0.21111111111111111"/>
              <c:y val="-1.8518518518518563E-2"/>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44450">
            <a:solidFill>
              <a:schemeClr val="lt1"/>
            </a:solidFill>
          </a:ln>
          <a:effectLst/>
        </c:spPr>
        <c:dLbl>
          <c:idx val="0"/>
          <c:layout>
            <c:manualLayout>
              <c:x val="0.16111111111111112"/>
              <c:y val="0"/>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444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44450">
            <a:noFill/>
          </a:ln>
          <a:effectLst/>
        </c:spPr>
        <c:dLbl>
          <c:idx val="0"/>
          <c:layout>
            <c:manualLayout>
              <c:x val="-0.1750000000000000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44450">
            <a:noFill/>
          </a:ln>
          <a:effectLst/>
        </c:spPr>
        <c:dLbl>
          <c:idx val="0"/>
          <c:layout>
            <c:manualLayout>
              <c:x val="-0.2797128788980533"/>
              <c:y val="-4.3270445154751716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939052209502836"/>
                  <c:h val="0.48470336009978948"/>
                </c:manualLayout>
              </c15:layout>
            </c:ext>
          </c:extLst>
        </c:dLbl>
      </c:pivotFmt>
      <c:pivotFmt>
        <c:idx val="11"/>
        <c:spPr>
          <a:solidFill>
            <a:schemeClr val="accent1"/>
          </a:solidFill>
          <a:ln w="44450">
            <a:noFill/>
          </a:ln>
          <a:effectLst/>
        </c:spPr>
        <c:dLbl>
          <c:idx val="0"/>
          <c:layout>
            <c:manualLayout>
              <c:x val="0.1611111111111111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444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44450">
            <a:noFill/>
          </a:ln>
          <a:effectLst/>
        </c:spPr>
        <c:dLbl>
          <c:idx val="0"/>
          <c:layout>
            <c:manualLayout>
              <c:x val="-0.1750000000000000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w="44450">
            <a:noFill/>
          </a:ln>
          <a:effectLst/>
        </c:spPr>
        <c:dLbl>
          <c:idx val="0"/>
          <c:layout>
            <c:manualLayout>
              <c:x val="-0.2797128788980533"/>
              <c:y val="-4.3270445154751716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939052209502836"/>
                  <c:h val="0.48470336009978948"/>
                </c:manualLayout>
              </c15:layout>
            </c:ext>
          </c:extLst>
        </c:dLbl>
      </c:pivotFmt>
      <c:pivotFmt>
        <c:idx val="15"/>
        <c:spPr>
          <a:solidFill>
            <a:schemeClr val="accent1"/>
          </a:solidFill>
          <a:ln w="44450">
            <a:noFill/>
          </a:ln>
          <a:effectLst/>
        </c:spPr>
        <c:dLbl>
          <c:idx val="0"/>
          <c:layout>
            <c:manualLayout>
              <c:x val="0.16111111111111112"/>
              <c:y val="0"/>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6"/>
        <c:spPr>
          <a:ln w="44450">
            <a:noFill/>
          </a:ln>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7"/>
        <c:spPr>
          <a:solidFill>
            <a:schemeClr val="accent1"/>
          </a:solidFill>
          <a:ln w="44450">
            <a:noFill/>
          </a:ln>
          <a:effectLst/>
        </c:spPr>
        <c:dLbl>
          <c:idx val="0"/>
          <c:layout>
            <c:manualLayout>
              <c:x val="-0.18827433628318585"/>
              <c:y val="3.9326814917366101E-2"/>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812389380530973"/>
                  <c:h val="0.40857142857142859"/>
                </c:manualLayout>
              </c15:layout>
            </c:ext>
          </c:extLst>
        </c:dLbl>
      </c:pivotFmt>
      <c:pivotFmt>
        <c:idx val="18"/>
        <c:spPr>
          <a:solidFill>
            <a:schemeClr val="accent2"/>
          </a:solidFill>
          <a:ln w="44450">
            <a:noFill/>
          </a:ln>
          <a:effectLst/>
        </c:spPr>
        <c:dLbl>
          <c:idx val="0"/>
          <c:layout>
            <c:manualLayout>
              <c:x val="-0.24873946066476205"/>
              <c:y val="-2.669031755645929E-2"/>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44434743223468748"/>
                  <c:h val="0.48470364281387901"/>
                </c:manualLayout>
              </c15:layout>
            </c:ext>
          </c:extLst>
        </c:dLbl>
      </c:pivotFmt>
      <c:pivotFmt>
        <c:idx val="19"/>
        <c:spPr>
          <a:solidFill>
            <a:schemeClr val="accent3"/>
          </a:solidFill>
          <a:ln w="44450">
            <a:noFill/>
          </a:ln>
          <a:effectLst/>
        </c:spPr>
        <c:dLbl>
          <c:idx val="0"/>
          <c:layout>
            <c:manualLayout>
              <c:x val="0.20143184086225946"/>
              <c:y val="0.18119805591445778"/>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8816296400449942"/>
                  <c:h val="0.44129721073001466"/>
                </c:manualLayout>
              </c15:layout>
            </c:ext>
          </c:extLst>
        </c:dLbl>
      </c:pivotFmt>
    </c:pivotFmts>
    <c:plotArea>
      <c:layout>
        <c:manualLayout>
          <c:layoutTarget val="inner"/>
          <c:xMode val="edge"/>
          <c:yMode val="edge"/>
          <c:x val="0.25251054555680541"/>
          <c:y val="0.18679300680635261"/>
          <c:w val="0.47712176602924633"/>
          <c:h val="0.60381511633079765"/>
        </c:manualLayout>
      </c:layout>
      <c:doughnutChart>
        <c:varyColors val="1"/>
        <c:ser>
          <c:idx val="0"/>
          <c:order val="0"/>
          <c:tx>
            <c:strRef>
              <c:f>Pivot!$B$98</c:f>
              <c:strCache>
                <c:ptCount val="1"/>
                <c:pt idx="0">
                  <c:v>Total</c:v>
                </c:pt>
              </c:strCache>
            </c:strRef>
          </c:tx>
          <c:spPr>
            <a:ln w="44450">
              <a:noFill/>
            </a:ln>
          </c:spPr>
          <c:dPt>
            <c:idx val="0"/>
            <c:bubble3D val="0"/>
            <c:spPr>
              <a:solidFill>
                <a:schemeClr val="accent1"/>
              </a:solidFill>
              <a:ln w="44450">
                <a:noFill/>
              </a:ln>
              <a:effectLst/>
            </c:spPr>
            <c:extLst>
              <c:ext xmlns:c16="http://schemas.microsoft.com/office/drawing/2014/chart" uri="{C3380CC4-5D6E-409C-BE32-E72D297353CC}">
                <c16:uniqueId val="{00000001-B20E-4A0C-85DB-0ACEDFA00587}"/>
              </c:ext>
            </c:extLst>
          </c:dPt>
          <c:dPt>
            <c:idx val="1"/>
            <c:bubble3D val="0"/>
            <c:spPr>
              <a:solidFill>
                <a:schemeClr val="accent2"/>
              </a:solidFill>
              <a:ln w="44450">
                <a:noFill/>
              </a:ln>
              <a:effectLst/>
            </c:spPr>
            <c:extLst>
              <c:ext xmlns:c16="http://schemas.microsoft.com/office/drawing/2014/chart" uri="{C3380CC4-5D6E-409C-BE32-E72D297353CC}">
                <c16:uniqueId val="{00000003-B20E-4A0C-85DB-0ACEDFA00587}"/>
              </c:ext>
            </c:extLst>
          </c:dPt>
          <c:dPt>
            <c:idx val="2"/>
            <c:bubble3D val="0"/>
            <c:spPr>
              <a:solidFill>
                <a:schemeClr val="accent3"/>
              </a:solidFill>
              <a:ln w="44450">
                <a:noFill/>
              </a:ln>
              <a:effectLst/>
            </c:spPr>
            <c:extLst>
              <c:ext xmlns:c16="http://schemas.microsoft.com/office/drawing/2014/chart" uri="{C3380CC4-5D6E-409C-BE32-E72D297353CC}">
                <c16:uniqueId val="{00000005-B20E-4A0C-85DB-0ACEDFA00587}"/>
              </c:ext>
            </c:extLst>
          </c:dPt>
          <c:dLbls>
            <c:dLbl>
              <c:idx val="0"/>
              <c:layout>
                <c:manualLayout>
                  <c:x val="-0.18827433628318585"/>
                  <c:y val="3.9326814917366101E-2"/>
                </c:manualLayout>
              </c:layout>
              <c:showLegendKey val="0"/>
              <c:showVal val="1"/>
              <c:showCatName val="1"/>
              <c:showSerName val="0"/>
              <c:showPercent val="0"/>
              <c:showBubbleSize val="0"/>
              <c:extLst>
                <c:ext xmlns:c15="http://schemas.microsoft.com/office/drawing/2012/chart" uri="{CE6537A1-D6FC-4f65-9D91-7224C49458BB}">
                  <c15:layout>
                    <c:manualLayout>
                      <c:w val="0.2812389380530973"/>
                      <c:h val="0.40857142857142859"/>
                    </c:manualLayout>
                  </c15:layout>
                </c:ext>
                <c:ext xmlns:c16="http://schemas.microsoft.com/office/drawing/2014/chart" uri="{C3380CC4-5D6E-409C-BE32-E72D297353CC}">
                  <c16:uniqueId val="{00000001-B20E-4A0C-85DB-0ACEDFA00587}"/>
                </c:ext>
              </c:extLst>
            </c:dLbl>
            <c:dLbl>
              <c:idx val="1"/>
              <c:layout>
                <c:manualLayout>
                  <c:x val="-0.24873946066476205"/>
                  <c:y val="-2.669031755645929E-2"/>
                </c:manualLayout>
              </c:layout>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44434743223468748"/>
                      <c:h val="0.48470364281387901"/>
                    </c:manualLayout>
                  </c15:layout>
                </c:ext>
                <c:ext xmlns:c16="http://schemas.microsoft.com/office/drawing/2014/chart" uri="{C3380CC4-5D6E-409C-BE32-E72D297353CC}">
                  <c16:uniqueId val="{00000003-B20E-4A0C-85DB-0ACEDFA00587}"/>
                </c:ext>
              </c:extLst>
            </c:dLbl>
            <c:dLbl>
              <c:idx val="2"/>
              <c:layout>
                <c:manualLayout>
                  <c:x val="0.20143184086225946"/>
                  <c:y val="0.18119805591445778"/>
                </c:manualLayout>
              </c:layout>
              <c:showLegendKey val="0"/>
              <c:showVal val="1"/>
              <c:showCatName val="1"/>
              <c:showSerName val="0"/>
              <c:showPercent val="0"/>
              <c:showBubbleSize val="0"/>
              <c:extLst>
                <c:ext xmlns:c15="http://schemas.microsoft.com/office/drawing/2012/chart" uri="{CE6537A1-D6FC-4f65-9D91-7224C49458BB}">
                  <c15:layout>
                    <c:manualLayout>
                      <c:w val="0.28816296400449942"/>
                      <c:h val="0.44129721073001466"/>
                    </c:manualLayout>
                  </c15:layout>
                </c:ext>
                <c:ext xmlns:c16="http://schemas.microsoft.com/office/drawing/2014/chart" uri="{C3380CC4-5D6E-409C-BE32-E72D297353CC}">
                  <c16:uniqueId val="{00000005-B20E-4A0C-85DB-0ACEDFA00587}"/>
                </c:ext>
              </c:extLst>
            </c:dLbl>
            <c:spPr>
              <a:noFill/>
              <a:ln>
                <a:noFill/>
              </a:ln>
              <a:effectLst/>
            </c:spPr>
            <c:txPr>
              <a:bodyPr rot="0" spcFirstLastPara="1" vertOverflow="ellipsis" vert="horz" wrap="square" lIns="38100" tIns="19050" rIns="38100" bIns="19050" anchor="ctr" anchorCtr="1">
                <a:noAutofit/>
              </a:bodyPr>
              <a:lstStyle/>
              <a:p>
                <a:pPr>
                  <a:defRPr sz="6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ext>
            </c:extLst>
          </c:dLbls>
          <c:cat>
            <c:strRef>
              <c:f>Pivot!$A$99:$A$101</c:f>
              <c:strCache>
                <c:ptCount val="3"/>
                <c:pt idx="0">
                  <c:v>Clothing</c:v>
                </c:pt>
                <c:pt idx="1">
                  <c:v>Electronics</c:v>
                </c:pt>
                <c:pt idx="2">
                  <c:v>Furniture</c:v>
                </c:pt>
              </c:strCache>
            </c:strRef>
          </c:cat>
          <c:val>
            <c:numRef>
              <c:f>Pivot!$B$99:$B$101</c:f>
              <c:numCache>
                <c:formatCode>0.0%</c:formatCode>
                <c:ptCount val="3"/>
                <c:pt idx="0">
                  <c:v>0.32225574852491995</c:v>
                </c:pt>
                <c:pt idx="1">
                  <c:v>0.38300401852135102</c:v>
                </c:pt>
                <c:pt idx="2">
                  <c:v>0.29474023295372909</c:v>
                </c:pt>
              </c:numCache>
            </c:numRef>
          </c:val>
          <c:extLst>
            <c:ext xmlns:c16="http://schemas.microsoft.com/office/drawing/2014/chart" uri="{C3380CC4-5D6E-409C-BE32-E72D297353CC}">
              <c16:uniqueId val="{00000006-B20E-4A0C-85DB-0ACEDFA00587}"/>
            </c:ext>
          </c:extLst>
        </c:ser>
        <c:dLbls>
          <c:showLegendKey val="0"/>
          <c:showVal val="0"/>
          <c:showCatName val="0"/>
          <c:showSerName val="0"/>
          <c:showPercent val="0"/>
          <c:showBubbleSize val="0"/>
          <c:showLeaderLines val="0"/>
        </c:dLbls>
        <c:firstSliceAng val="168"/>
        <c:holeSize val="4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dashboard.xlsx]Pivot!PivotTable15</c:name>
    <c:fmtId val="15"/>
  </c:pivotSource>
  <c:chart>
    <c:title>
      <c:tx>
        <c:rich>
          <a:bodyPr rot="0" spcFirstLastPara="1" vertOverflow="ellipsis" vert="horz" wrap="square" anchor="ctr" anchorCtr="1"/>
          <a:lstStyle/>
          <a:p>
            <a:pPr>
              <a:defRPr sz="1100" b="1" i="0" u="none" strike="noStrike" kern="1200" spc="0" baseline="0">
                <a:solidFill>
                  <a:srgbClr val="C00000"/>
                </a:solidFill>
                <a:latin typeface="+mn-lt"/>
                <a:ea typeface="+mn-ea"/>
                <a:cs typeface="+mn-cs"/>
              </a:defRPr>
            </a:pPr>
            <a:r>
              <a:rPr lang="en-US" sz="1100" b="1">
                <a:solidFill>
                  <a:srgbClr val="C00000"/>
                </a:solidFill>
              </a:rPr>
              <a:t>Profit</a:t>
            </a:r>
            <a:r>
              <a:rPr lang="en-US" sz="1100" b="1" baseline="0">
                <a:solidFill>
                  <a:srgbClr val="C00000"/>
                </a:solidFill>
              </a:rPr>
              <a:t> by Product Category</a:t>
            </a:r>
            <a:endParaRPr lang="en-US" sz="1100" b="1">
              <a:solidFill>
                <a:srgbClr val="C00000"/>
              </a:solidFill>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C00000"/>
              </a:solidFill>
              <a:latin typeface="+mn-lt"/>
              <a:ea typeface="+mn-ea"/>
              <a:cs typeface="+mn-cs"/>
            </a:defRPr>
          </a:pPr>
          <a:endParaRPr lang="en-US"/>
        </a:p>
      </c:txPr>
    </c:title>
    <c:autoTitleDeleted val="0"/>
    <c:pivotFmts>
      <c:pivotFmt>
        <c:idx val="0"/>
        <c:spPr>
          <a:gradFill flip="none" rotWithShape="1">
            <a:gsLst>
              <a:gs pos="0">
                <a:srgbClr val="C00000"/>
              </a:gs>
              <a:gs pos="100000">
                <a:schemeClr val="accent2">
                  <a:lumMod val="60000"/>
                  <a:lumOff val="4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C00000"/>
              </a:gs>
              <a:gs pos="100000">
                <a:schemeClr val="accent2">
                  <a:lumMod val="60000"/>
                  <a:lumOff val="40000"/>
                </a:schemeClr>
              </a:gs>
            </a:gsLst>
            <a:lin ang="5400000" scaled="1"/>
            <a:tileRect/>
          </a:gradFill>
          <a:ln>
            <a:noFill/>
          </a:ln>
          <a:effectLst/>
        </c:spPr>
      </c:pivotFmt>
      <c:pivotFmt>
        <c:idx val="2"/>
        <c:spPr>
          <a:gradFill flip="none" rotWithShape="1">
            <a:gsLst>
              <a:gs pos="0">
                <a:srgbClr val="C00000"/>
              </a:gs>
              <a:gs pos="100000">
                <a:schemeClr val="accent2">
                  <a:lumMod val="60000"/>
                  <a:lumOff val="4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C00000"/>
              </a:gs>
              <a:gs pos="100000">
                <a:schemeClr val="accent2">
                  <a:lumMod val="60000"/>
                  <a:lumOff val="4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c:spPr>
      </c:pivotFmt>
      <c:pivotFmt>
        <c:idx val="5"/>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pivotFmt>
      <c:pivotFmt>
        <c:idx val="6"/>
        <c:spPr>
          <a:gradFill flip="none" rotWithShape="1">
            <a:gsLst>
              <a:gs pos="0">
                <a:schemeClr val="accent1">
                  <a:lumMod val="0"/>
                  <a:lumOff val="100000"/>
                </a:schemeClr>
              </a:gs>
              <a:gs pos="24000">
                <a:schemeClr val="accent1">
                  <a:lumMod val="100000"/>
                </a:schemeClr>
              </a:gs>
            </a:gsLst>
            <a:path path="circle">
              <a:fillToRect l="50000" t="-80000" r="50000" b="180000"/>
            </a:path>
            <a:tileRect/>
          </a:gradFill>
          <a:ln>
            <a:noFill/>
          </a:ln>
          <a:effectLst/>
        </c:spPr>
      </c:pivotFmt>
    </c:pivotFmts>
    <c:plotArea>
      <c:layout>
        <c:manualLayout>
          <c:layoutTarget val="inner"/>
          <c:xMode val="edge"/>
          <c:yMode val="edge"/>
          <c:x val="5.011389521640091E-2"/>
          <c:y val="8.3299892082017685E-2"/>
          <c:w val="0.89977220956719817"/>
          <c:h val="0.68199688236939937"/>
        </c:manualLayout>
      </c:layout>
      <c:barChart>
        <c:barDir val="col"/>
        <c:grouping val="clustered"/>
        <c:varyColors val="0"/>
        <c:ser>
          <c:idx val="0"/>
          <c:order val="0"/>
          <c:tx>
            <c:strRef>
              <c:f>Pivot!$E$118</c:f>
              <c:strCache>
                <c:ptCount val="1"/>
                <c:pt idx="0">
                  <c:v>Total</c:v>
                </c:pt>
              </c:strCache>
            </c:strRef>
          </c:tx>
          <c:spPr>
            <a:gradFill flip="none" rotWithShape="1">
              <a:gsLst>
                <a:gs pos="0">
                  <a:srgbClr val="C00000"/>
                </a:gs>
                <a:gs pos="100000">
                  <a:schemeClr val="accent2">
                    <a:lumMod val="60000"/>
                    <a:lumOff val="40000"/>
                  </a:schemeClr>
                </a:gs>
              </a:gsLst>
              <a:lin ang="5400000" scaled="1"/>
              <a:tileRect/>
            </a:gradFill>
            <a:ln>
              <a:noFill/>
            </a:ln>
            <a:effectLst/>
          </c:spPr>
          <c:invertIfNegative val="0"/>
          <c:dPt>
            <c:idx val="0"/>
            <c:invertIfNegative val="0"/>
            <c:bubble3D val="0"/>
            <c:spPr>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noFill/>
              </a:ln>
              <a:effectLst/>
            </c:spPr>
            <c:extLst>
              <c:ext xmlns:c16="http://schemas.microsoft.com/office/drawing/2014/chart" uri="{C3380CC4-5D6E-409C-BE32-E72D297353CC}">
                <c16:uniqueId val="{00000000-EDF2-4927-B9B2-107E4D502D22}"/>
              </c:ext>
            </c:extLst>
          </c:dPt>
          <c:dPt>
            <c:idx val="1"/>
            <c:invertIfNegative val="0"/>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extLst>
              <c:ext xmlns:c16="http://schemas.microsoft.com/office/drawing/2014/chart" uri="{C3380CC4-5D6E-409C-BE32-E72D297353CC}">
                <c16:uniqueId val="{00000001-EDF2-4927-B9B2-107E4D502D22}"/>
              </c:ext>
            </c:extLst>
          </c:dPt>
          <c:dPt>
            <c:idx val="2"/>
            <c:invertIfNegative val="0"/>
            <c:bubble3D val="0"/>
            <c:spPr>
              <a:gradFill flip="none" rotWithShape="1">
                <a:gsLst>
                  <a:gs pos="0">
                    <a:schemeClr val="accent1">
                      <a:lumMod val="0"/>
                      <a:lumOff val="100000"/>
                    </a:schemeClr>
                  </a:gs>
                  <a:gs pos="24000">
                    <a:schemeClr val="accent1">
                      <a:lumMod val="100000"/>
                    </a:schemeClr>
                  </a:gs>
                </a:gsLst>
                <a:path path="circle">
                  <a:fillToRect l="50000" t="-80000" r="50000" b="180000"/>
                </a:path>
                <a:tileRect/>
              </a:gradFill>
              <a:ln>
                <a:noFill/>
              </a:ln>
              <a:effectLst/>
            </c:spPr>
            <c:extLst>
              <c:ext xmlns:c16="http://schemas.microsoft.com/office/drawing/2014/chart" uri="{C3380CC4-5D6E-409C-BE32-E72D297353CC}">
                <c16:uniqueId val="{00000002-EDF2-4927-B9B2-107E4D502D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Pivot!$D$119:$D$121</c:f>
              <c:strCache>
                <c:ptCount val="3"/>
                <c:pt idx="0">
                  <c:v>Clothing</c:v>
                </c:pt>
                <c:pt idx="1">
                  <c:v>Electronics</c:v>
                </c:pt>
                <c:pt idx="2">
                  <c:v>Furniture</c:v>
                </c:pt>
              </c:strCache>
            </c:strRef>
          </c:cat>
          <c:val>
            <c:numRef>
              <c:f>Pivot!$E$119:$E$121</c:f>
              <c:numCache>
                <c:formatCode>"₹"\ #,###.0,"k"</c:formatCode>
                <c:ptCount val="3"/>
                <c:pt idx="0">
                  <c:v>11163</c:v>
                </c:pt>
                <c:pt idx="1">
                  <c:v>10494</c:v>
                </c:pt>
                <c:pt idx="2">
                  <c:v>2298</c:v>
                </c:pt>
              </c:numCache>
            </c:numRef>
          </c:val>
          <c:extLst>
            <c:ext xmlns:c16="http://schemas.microsoft.com/office/drawing/2014/chart" uri="{C3380CC4-5D6E-409C-BE32-E72D297353CC}">
              <c16:uniqueId val="{00000000-8832-4748-A858-44B27858FA53}"/>
            </c:ext>
          </c:extLst>
        </c:ser>
        <c:dLbls>
          <c:showLegendKey val="0"/>
          <c:showVal val="0"/>
          <c:showCatName val="0"/>
          <c:showSerName val="0"/>
          <c:showPercent val="0"/>
          <c:showBubbleSize val="0"/>
        </c:dLbls>
        <c:gapWidth val="54"/>
        <c:overlap val="-27"/>
        <c:axId val="501116639"/>
        <c:axId val="501116279"/>
      </c:barChart>
      <c:catAx>
        <c:axId val="501116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116279"/>
        <c:crosses val="autoZero"/>
        <c:auto val="1"/>
        <c:lblAlgn val="ctr"/>
        <c:lblOffset val="100"/>
        <c:noMultiLvlLbl val="0"/>
      </c:catAx>
      <c:valAx>
        <c:axId val="501116279"/>
        <c:scaling>
          <c:orientation val="minMax"/>
        </c:scaling>
        <c:delete val="1"/>
        <c:axPos val="l"/>
        <c:numFmt formatCode="&quot;₹&quot;\ #,###.0,&quot;k&quot;" sourceLinked="1"/>
        <c:majorTickMark val="out"/>
        <c:minorTickMark val="none"/>
        <c:tickLblPos val="nextTo"/>
        <c:crossAx val="501116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95A15EAA-0CCD-4D75-9ACD-7C2B8081AD94}">
          <cx:tx>
            <cx:txData>
              <cx:f>_xlchart.v1.1</cx:f>
              <cx:v>Profit Margin %</cx:v>
            </cx:txData>
          </cx:tx>
          <cx:dataLabels>
            <cx:visibility seriesName="0" categoryName="0" value="1"/>
          </cx:dataLabels>
          <cx:dataId val="0"/>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Sales by States</cx:v>
        </cx:txData>
      </cx:tx>
      <cx:txPr>
        <a:bodyPr spcFirstLastPara="1" vertOverflow="ellipsis" horzOverflow="overflow" wrap="square" lIns="0" tIns="0" rIns="0" bIns="0" anchor="ctr" anchorCtr="1"/>
        <a:lstStyle/>
        <a:p>
          <a:pPr algn="ctr" rtl="0">
            <a:defRPr sz="1100" b="1">
              <a:solidFill>
                <a:srgbClr val="C00000"/>
              </a:solidFill>
            </a:defRPr>
          </a:pPr>
          <a:r>
            <a:rPr lang="en-US" sz="1100" b="1" i="0" u="none" strike="noStrike" baseline="0">
              <a:solidFill>
                <a:srgbClr val="C00000"/>
              </a:solidFill>
              <a:latin typeface="Aptos"/>
            </a:rPr>
            <a:t>Sales by States</a:t>
          </a:r>
        </a:p>
      </cx:txPr>
    </cx:title>
    <cx:plotArea>
      <cx:plotAreaRegion>
        <cx:series layoutId="regionMap" uniqueId="{D7B2F79A-C728-4400-8646-2D861947363B}">
          <cx:tx>
            <cx:txData>
              <cx:f>_xlchart.v5.5</cx:f>
              <cx:v>Sales</cx:v>
            </cx:txData>
          </cx:tx>
          <cx:dataLabels>
            <cx:txPr>
              <a:bodyPr spcFirstLastPara="1" vertOverflow="ellipsis" horzOverflow="overflow" wrap="square" lIns="0" tIns="0" rIns="0" bIns="0" anchor="ctr" anchorCtr="1"/>
              <a:lstStyle/>
              <a:p>
                <a:pPr algn="ctr" rtl="0">
                  <a:defRPr sz="700">
                    <a:solidFill>
                      <a:schemeClr val="bg1"/>
                    </a:solidFill>
                  </a:defRPr>
                </a:pPr>
                <a:endParaRPr lang="en-US" sz="700" b="0" i="0" u="none" strike="noStrike" baseline="0">
                  <a:solidFill>
                    <a:schemeClr val="bg1"/>
                  </a:solidFill>
                  <a:latin typeface="Aptos"/>
                </a:endParaRPr>
              </a:p>
            </cx:txPr>
            <cx:visibility seriesName="0" categoryName="1" value="0"/>
            <cx:separator>, </cx:separator>
          </cx:dataLabels>
          <cx:dataId val="0"/>
          <cx:layoutPr>
            <cx:regionLabelLayout val="none"/>
            <cx:geography viewedRegionType="countryRegion" cultureLanguage="en-US" cultureRegion="IN" attribution="Powered by Bing">
              <cx:geoCache provider="{E9337A44-BEBE-4D9F-B70C-5C5E7DAFC167}">
                <cx:binary>1H1rc9TI0uZfIfiwn1Ye1b3q7JkTcdTdlm+AAc8wzBeFASOV7lKpdPv1m42BsWvamKnljVgcRBC2
WqVUZj2ZWZlPVf/7/fyv9+XNdf9krsra/Ov9/OvTbBjaf/3yi3mf3VTX5qjS7/vGNB+Ho/dN9Uvz
8aN+f/PLh/560nX6Cw4R/eV9dt0PN/PT//wbRktvmovm/fWgm/qlvemXVzfGloP5xrWDl55cf6h0
vdVm6PX7Af369Nn1h2y5fnLZX3+4MdnTJzf1oIflamlvfn1677NPn/zijvi3pz8pQcDBfoB7MTli
RCLBmAw//aCnT8qmTj9fFvIIS6k4IUh9+iFfHv38uoLbv1+sT0Jdf/jQ3xgDb/fp/7/ff+9V4PLl
0yfvG1sPe0WmoNNfn57WH/T10yfaNJvbC5tm/x6nzz+9+C/3TfCffzt/AFU4f7ljJVdvj106YCSY
CtcmG3qQ8EdZCKkjynAoCVMHLcSPUCgVwfTWQIp9efQXC32XTA+Z587Nrm1OfirbbG/KTH9RzQ/A
jTzilBAVcn7QKuIIIUaFZJ9xw788+tYqj0pz2B6fb3Mssb34qSzx6jq/NkN2XX9RyQ+wBj9ikhKK
1WFrkCO5h4ek4tZYjhf7LokOW+TOrY5VXp39VFb5bRggDP74+MKPFCaMI3Sr+fB+fJHhEeOcMCzJ
wfjy3VIdto5zu2Oh336u6HJ+3dfXw3XxI2MLPRIopJhSfNCLQWzhQiEGju7Tj4Ob75LosGXu3OpY
5fy/PxVuYptDzB9+oC/DR1xhjsQDNkFHTIkQAMVubeJElu+Q57BFvt7o2CP+ufzYpa3z63c/zhwk
hNiBQdlY3M+M2RFFXIYqFAex8bgch83w5T7HCpfRT4WKNzdmeBLd1Ol1+eNMAWsVyShiobhvCimO
lMBc0c9eyk2Bv1OYw/a4d7NjlDc/l1HOb/rr8kdGj/CIUiWFEPQ+NPgRDSXmgI/bqIK/zIHb5Pdx
OQ6b4st9jhXOf67097/1h6z/H1jJI3YEq3iGpApvHZK6bxR1pPgePerzQtGJ5d8v1mHjuPc7Rvrv
z5VrRRoWvl9m7Q9Yn7AjyKNgMcjIoTxLwuVQcU6Vg5RHxThsi8+3OSaIXv1UIeT5NQSP6/rDD7QC
P4K8SUqo2h1CiKJHlEMpTHyuhIUQZW6LOLdu63sEOmyPv+50TPL853JdZ9dVZZ+ATZ6cQ5Wr0j8Q
IQTqkAARxg7bRjCocgkOxZbD9ZRbyf7XddX+n++R7bCZDg7iWOzs/KcC0cl1v1zXPzDmY3WElESK
Qpnxbp2YHxEaYhrSz+BxViXfIcdhm3y90bHDyc/lzE50dQ19gvLHF1gIui2wcHBrn37QfcOII0w4
RgSWKp9+XMP8A8EesNDfRnBN9XOF/rj5gXCBpIxwgonC8lDIEfQoZLBy4RjfXnaK94/Ictggn25y
bBD/96dyW1fXlS6fPL/+YL+E4P/3HAyhoxBxKENKeR8hElYrIsQhc+L99wlx2AZ373VMcQWdqp+o
p/VaF4WufpwZsDhiUIUnoPBDiJBgDSEwLFI+uzPHXz0uzmGDfLnPMcbr/7/D+eF5crezeO8T/7T3
i4+g8s4AFJ/bIk7oUHvfxamghyuNnzuxD0tz2BKfb7sn+P9wW/fhlu/X1vgWKuu7Tz31O13fb1/9
9HrQ73du/Vbj91ZXpx9+fYpChLGg4R2T7ce5t+C41yS8f9MNdNB+fSrEEVTmYVXJJQ/J/v+nTyao
vMEVfiTRvh4mELRfJJZg2rrphww6/vJISgHdZI4UoiHHEHNMYz9fgiQO7go5gYYNTI6vpIbLplzS
pv6qkc+/P6ltddnoejC/Pt2X3drbj+2FhZeTeI9kKAMRyqBQBC/bvr9+BcQJ+DT637pmbQXidbHu
s3WJuqkbruyYTn9k4zC+IPN0ZYM+eFWTwRRRVmbt+UJVGrEWpcWWTXn5tir68brvGn2aFMru6pKz
zboqGyE6DMe61OzlzMP5FQyfRSaf2stUV+VNzvm7yRq+nVYV7Lp8KLa8oc1lq6bkqsNpk0YdMm9I
Q6vrRvJiG+BljExSFJdLw14VTTmel4jk0Uz49DvJebgL8zWJ0kzZrSqG5nXTqD/mIKcbNKVNVBfd
vONBMMVhPffRjLHeGtP2kV2612FFsl1m5iYi7aBetXNQbK0dute0osHOpHm1SyeDI9kP7EQnRRcP
oZre4GVmJwYn5UeVtPXFSNLsneRVF8nFDO9sLc1VbnEV50nCx4hyorZ0JEJv82oOUNTxBP1Z5Nmy
4ZTZXdhJdTGheVo2eLVNtTHdMP9Jqly3UakY1VFHx/Btg4SKwqSd8kimqG+ifmTP2DDmLFpEIX+X
QWnOsw5V9YbItR2jVTV2iu5SM+5NpPdNu/Q6zT4TZL7++p+rpoJ/n7gaf/1xz6/567dnX4g53/xU
fNPsV+/G/dDeJXwd6y9WyB6DXykiDrBvqTwPoP6bF++5hHuO70tc/YRuBCW5r+Sdv3mDe+726+dv
HYES0IxAAGpGKIdlNIfa360j4BLWa0BCkCHQR2CJQP5yBEQcQSWdgyMIuSLgEKCK+9kR8CPBQ3Af
UoCPQlxBXerLe9+zH3i/z7/fdQQwTvuXHwgwghACpclP/uEO/k0yJ02hFT/J0FaxF2aETtPX9/8H
4+6fd2dchfXITTmL3cDAa0TruixvMsznW4rQLUPoHwwPVrk7fC6CYpnmWuyyvuv7VxNfw/Qqndfm
47fFB+d8UC34/viqWgtpi4TvFGZmfdmiSoVRRnKGopCGFY4o6Ybk+NsPe8gGYP67L2PA9vmU1nw3
GyJJJEOS9lGzcPnnt8eHXPngyzg+XqgubHO18J1FLX2G0ESr11OYh/xikUM9x4FYeR9VS9fCgt7D
+BJm+t0XamXYjmL/wLFUYj5rMpvYDTU207tvP2A/0IFZu18t3H2A1OsUDpaw3VQYMZ3xhSR40xYG
ZxesyHL8DNnCFpvOdPUiorCkqDsO62zsgS/1rRdEe9UdEmCv6jvTuxWVKZhZ2M6m6dhtILjHgqCP
bUG6qYi6dBorCCwiuGimFBU7i5tG1lGQSlxBufFbIjwwaeR+5t6RoEyXaizZBCqQmG1I33wUbNKP
vN9Dg++zhjuDN4DUSS4D2y2LEX+EzdJEyWjzF36iO76hlLnmhvRsVxCtb0Jgdl7UgS7sxm94xzc0
wcTaLmNsVw5i/B1NHY3mZBV+nkc6nqEvp7xtccd2QxOs6y6cg7Hf8rZphKf4jjfAc4rkUubgDRpq
883C+UyjrgMobf3047gDnC9B3Zg2iOtmEfzSaCBL/l4NQ/CI73xg8ggH/UaGNpxmJuO1QdVuSWkA
6ZYuTP+Igu6nrl9DlnDAr5qClhYvSdwEcq2Opx61466cFqS3nc6o8nyMA3FCm0RObSDiYbB4OKl5
U4e7tUblvGv1MM1+UBMOjrtm7BIyVzJucbFeFf2SvagFV1fftvVDunKAPBWzRBOkHTEOZr0rTS/I
RUqXpntTMFnMj6jqIYvv/37HXWQybQspWhn3JV1Og2oNXyhITcvbpPOfBntB7g/fJHoJQTk8tqLD
cxTmM33L16bdfVtHD0nvINqOooF2E+fxWIIFhjKtdtQGovWU3sGz1aReyiWXMTVjATZY5BxEJlz0
6vkAB8+FClinZtC+QlVXn7aI1dOuz8U6XXopaJ+43jWvwAsxKJh5rEymfxfSmMtZp93yiPz7mX4g
lnIHz5UaJ5bbVMRVabrklaiqzv5OulWFZ0OQKfESFr2En/q9i4NqsfTAF4YyY9wSOuiTYSWzirKi
mkI/PHMHz7NeOj7gXsSFSVt6aio8yii3tH8sNu/VckhdDqSXNE/DaoL51CVL22/zlAhxWQXryM/S
IamK3Zzipf6jrCT509bpVD+iuYdyHu6gvJzTRDTrBH63lGV7lgUmEZDZFwrSOjlMOR2iesjXcaMz
3lbHxbymYsvpRJrXYzhw66lgxxssCQ+ELIIkrkRgt0RPIpaiJI9MRrSH5SH14vuTnY3DrDvcqZiE
a9/sVpSMw44l61qetIqI5UVqquZjG9CpOqGrrNnzmRBcP8NCyvwPWWDGHhHlAb/EHcch65y1zaRp
3IrEkA1f1U07z1Pn57S54zbKnnC0zLmI+6Cd4nRAtIxSItMPXkBjjtOwqOcyz1Map+0s3zIIpc9N
GFR+Pps5PqMjaZ0HgVAxK2Els7FIVmtkdb+YR2bZAyjb9x3u+jyju4XhuZfxsEwJPpW078N3c4sA
cRnOQqgnadtWEV55m75vq9VgP7Psy4V3H0ymuoRJ1POYy6SyUdthU0WLpYFnuGCO/1jpWnSW92Jn
O4Z2fBnT7cqbYOtndsdJ8ESFdd7Na2xsOsRrLfKI923+iA96ABLMwT50jrJghtAQ51hXGzygfJss
DfacVA70YdXTSKSbNcawbozCDL2pU/pY1vqQ6A6aEW9rOpfpGqdiGZ7ZpQ4hF+gylHvOGwfOWW6H
lvTLGgdJpU7xOBfbhEgae5mVOmgm7cjaoYDRhwTTzUSEiUyFtJ/s1EGzrPEqRwFmDQacbQpix4gX
gvr5UepAOQ+DPpwSs8Yd0uWxUXW6GRldj7+tmT1sDsQL6uC1Tli2rgjKylPAbmDZWYzHdCjaOh4m
wT3fwIEsGcVY50UyxQSA+0oNTb5DtCn8luPUgexQQyo0rXyKG8r4qVTMbvOl9nQ31IEsGqoykWtu
49SU9FyXlXjWzqWn6A5iIVBDPwCRIe6aPEGbnmGzEdlcZNtvG/cB0FIHtCxJTRGsUOZpaz2fFUM6
XNgkKT1B5UAW6qPBiGw+HPcWuguvyRTK8gXrJc/85g1xUFsgPXbpiGdICe26KVr2dlFL/cjEf0A3
xAEty4OCSpmMu67MUESMxVGnoO3jpXnigJa0OcVJLkfQfPC2x5Df1WpO/MxKHMwW7doHgeGfRae4
wxEbua/oLlqZTKzM0LhTExSN8X5046+YvTnurLWLcGyT0sDoc66yjZWFjTjHuafaHbRmlMkGWAEw
OsU3nablcapTz8oWcdBawP5uqVMYXK22ikuhelh58dkvN9g3Ue4qZh6ISMqlGHdsSKZoRiOOUJsM
fiGKOFitshbXDQmhvzmudTRl+sbmK/LTOnZwatZ+aJtssruqyGgEzcC3wQjdRi8kYQenYcJ6smTB
sBNdWG/NrK+NXY3n4A5MO6PmHDJhu8u5yiKe6zKyPRaeozs4FSQPUh0oEF1Z9MxAe+QyEWnp16La
99jvTRhLcU1h5HiFLqqJ1lpytg2GQBq/OYMdqOJuVpVt0zFeaFX3UUBaFrcTHt77GdbBKtIJ7pu5
gsiamPJM5QZtTZEvO7/R8X3t2D5pSbowGw+K/Ily/NJQ8tJvaBepZsmrZQmGWGfBc3CPbxcsPGuF
2MGp0roSqBZDnE+Z3NqMXTVF0vgZFDk4rQsT9EpaGwd60JsyFxcCd6HfZEcOTqEtPLVmlgEwKOYP
ekFvMKuAGeXRK0IOSqWe0gDi9RLDsGaIVmwyHi2GpH6uFzk4HVNms4L2QwxssvAPOoAfiIxekV+m
gRyg2q7EYZk0Nq6aft02s3iX6TbxVLsD0kTqToy6tzFb+mVTVS2IXjzWed0PcmBxsCcP3HUxquZU
t0E1xED7Uc+kSdGzMkjaN35mdSCKBzz0cDYJTMcsySJSTX8IqT1N6mB0pY3Kk6ywcc9GEiE5vy07
eeknt4NROtF50gTGDnJzRe3yjFHzzGvo0EFoMyVJOpB02IVJEGyCPLnQa+hZHwgdhCLUtmINcLCD
jUIvqkW8lf1S+rmW/b6WuzMlyCBP7xvQSZnVL5u0OU6qzM+Thw46aTstZIYC/q5Zx5N+wueU+UXQ
0AFmu7CBNy2s7XiVXshmjus+8Wuzhg4sdTnMmbUgdFv9to52k4vf/WaIA8lS5X27FmBEmhXv+lm9
lCv381Ohg0fbjcW8THyIF5Ojq3UZcJxbYrZ+gjuIJHUy17lWQ2wCoBLgujhRifrDb2wHkUWpDYND
CIId05DdBiG/por4BTbY2Xh/asPE7royhJCcaT5HzNBgC5zI0Qs4wGC8P7o0oxgoG4FCyF/3zVZC
FdtHJ1Q5iMzSrKNdtgyxlUDmmIhpI9TxK7/BHUxO0O9aljoxO5S1J1MJvf2O5IPXTKEup6u3NiyC
EgaXJbsktn2v6dJ7asXBJew5WvY8RbPrK3LJYOzZjr5jO9BEkxaEzAjKxpiEF1am+VlHZ+6pFQed
maFjCfksTBS28mgN899KnnklWFQ52JyVpVOhAPkzWYZ8E9KEN1sMGZD2ci1UOQBtp4om0KsZ4pS2
18E0voHmw29eU9Ela42EhD0noBdrU7btbKEjICsLrzwCCkL34dlno4B69AyCz/OlbcKzeew8ESod
hOaVCKnIiIllQZ6VQDjcwT547Kdxl19l0x44l3Yc4rAtX9Kg3OR95pWkUOmEzZ4F9ZKSysQYM7yZ
KtRvEM0/+pnTAegCHQUjq8EAm4G/Tc18pgV77Te0g8+5H5JC4qCPF1ROUdmI7riucj8aBnWJVQ2b
ajUCVyiGFtK6rdfmuSDmMY7B/u3/nojTPdX+bnplW2yKDE193ADXpoyM7YPzYAyXV36aceA5BQS8
IrVg0XH5YCCDm4185zW0y6YaIPBkLW9MXPD01dy2p2FV+c1Dl0g1JrLgeUn7eB27bDdOKd4GZf3e
T24HnHqliennwsQqazcFXZ5X8rG0c4+TA8Z0KVNTAPXgsRV9nFUjs1EveP6s4+0cTTm2y8ZPfgek
rKjnumhYH5ea/Flm9E3QFld+QzsQnYHxWHKR9ID/0ZyMpkcRGqlfq466bKkUZ0z3BIPgFL2pxqCO
aND+7ie5G0Pnri36MDMxw5pOu5XYhUa1LLNi6/cAB6c0S1NpZQlTcg5e6gpf6c5vLQ6nzN13AbAP
pYMFMwydLOrlEOoXCeFebSjqEqRKuSRVNy59TJIKx4HEw0uUTtqL6QvHH9wXHIsxZKOGmZiEsENn
6buYUE92GuUOTKs5CYbZZH1cj20YhaM47qbUrzoMux7uSz701FqqQOXgHs/HBZ+XbPbDEHfgqaa0
tHmX9rFI0joS63Kueu3XN6Mu00nBLAlnXPQxasZLgrqLPhw85XZiaK+hO8GnoIsNl2806l+WRee1
iKPcAWcy06pI27yPOWgmUkBCj7qlkn7+0GUjDSTvgrxRHfRtsm7T4+KlDdRvXqh3qUhhCOusmoVd
nGrY7hRNUKjY2TDgfopxqUh5roCVli+AG7VUG2k5f1XqcPWzqEtFgn1XPAGuXRevqscbZOhziKR+
3XPq0pBsUMuGzQ1Ml0bRsABfuxQmi6QaC68aDnT472MUuMChSucadJ9mk9jUUDyLk4R2fn0E6tKN
lsJa2VdJG8vAFN1mnNrqo1Vi8lw0MnpfflThkE4qaOM+W8y2SnkegYbYsdfMdAlHQsyzDMewjW3J
8SbkQGInsPqN/EZ3EDuUwMAzpG5jQ0U6RGjFxXWxzHXqOb4TTWfd836aQTdNljeRHqrf5hL5xTzm
hlPcTFUgLOi9lu3JYkJzPJVNduKlGZdvNJKRLG05tbB1kq1vwiZJT+Ag37bwU4xLOCLgJxlewKyq
TjpzLKwkNGJJwzvPBzhhFZpxRVO3I2iemOm07+VvWVf61eapSzkSRYWBY9y3saDDa52al1MxvPbT
uxNW02SZSFmmXSxq9WfdTCjKKH2MW7uH5IG83SUadVAyl4Gt2pj0ufxTQFPhxBbV6DllnMg6hMG8
rIQ1MSBVRRyoL1GwBGLnpxgHqv0SQI++hNHZuNiIofasqB9jMX1KQQ8pxsFpp2eg10ncxCMv0iSC
bnEOzkboudiklUqLk6pdpte2MuUpMSTg8ZBlHbuCLW6iu4T6n+lfK1HxkwL6ks1JXtSUR6LUUIxP
506GU7TSvOt/mzoc2E24dHVx3WRZ0G04JJZ4ixjU2neitbPdlgiqZBsOXer51HaBzGMs5oyeJk0O
+5JRCNWEPwJg9i7HsPfaiC0RM4w5lXpYj9NOZQZ228Hu5eMK43ndmrEi9Z+zoDS5HCgP8ncGsa6L
5YrVGPczvO+2HVa2y8ORyU0tMCo2fBGpPUlRk6oLLmvYFxZ2K34Np7dM0Yh5f9pq069x2Ci5HE9V
OdLt2NOU7UYxwW5tVmYj3aRlWzWQzyq1bGSviYiqRvfofKqTXJ2WBA00XkHb04aRYjxd16B63tdj
SLc0HMc1ypM+WV+XKG+EXxayP1bgbgmimqnlhSVNzFnWQNUniHBKlJ+/cZlehCYLJJJlG2e8uklo
8ToR2k9ul+c1QidmLjHIzWwSG1WeJQz5FQddkhcbgZmCoIIUw8k7c5QEqohUiRpPnTiZTR+mhBfQ
tItTnMMxAUX3kee9X9JHHD+Zw/bWsRZhE9vFts9hN5g+achQ+bky4uQ0GdehrTE3cdoX9IJC/grM
fzu89XJlxHGUfZWO49iOTVzI1P7ey26FYn4tB0+1O56yq/UA20RUEysoKkcM5xfZmvrtNKMuySsE
CDMq2yZemjaptk045fHchdpzlePSvFCt0RoQmJE8rdi8w6a2ayQCVnRbL+W7VK+h6qYkyIYmhkbV
x6mlZywwfjs6qMv0au3Uj90imjgLFfDIBiPmckNUjj/6ye4kNSPrVjJa3MZlp1YZiaYj0GOXGPtx
MSh2EDu1dYnCOYUEAb7TJbJiyndaa88EweV7tWJK8jWFEA49mn4DjDK+aYMpjP2U42B2CmGrNNN1
A7tqy/KMk5ENEe967sfvp9hBrcnrFIhMDbjh2oqzrCbhn7CmXfxKwdgBrZirbq0M5KtQyppPE5rY
WISD8Jz0Tn6DSWmV3kenXFfpxkxdGtmhqvwcjkv5Qj2a7Qzr5DhYanKTAdv8Zq1s5cf8pC7pi2FS
51letDGcjTkGp4Wq0SZMpok90jt8YF8ddYlfsLcVjocpZR2vcJ5Nf9UWemw2iahxu51ME1zBhrPn
QaDKfAtZXKE2qYLF6HEWMNb4Wd/lh8GmYB7aHPLPaekyuQmqHA6gqLK6Lf2W0S5BDA5GWmHNsvdM
yYCS80qnsO9s6ZYh3Hihz6WIraHtYXstrmP4kiRdRPOUTzTKCzp6JljIgTc3a9XXGB6wWAy05dW+
Afb+ez/hHWiXQ7UMyq513Pa12cwp+bgOzFdwB9lptyJjClHFkNsel7g4w9j4lQA+baG8Q0WvgiBM
JzhBJB7oaDZFQKHVMK2v/JTipMtDVvYpmsY6TmwvdzbDaVQx7RkqXZ7YJOB7rGqwKBx7NQfvqnwi
7/sAwo2X7C5RzOS0bmiNqhhyrediXM/LLn3kLJf9fDuwVHR5YukMfUbeN3VsZpydobKXEXwn1+QX
xFyq2FRwLceCVDEpJBzAlUvZnWXC1pkfTF3CGFVzQ3gdVrFgdb7plDwpKFr84oBLGevbOk0TpetY
0Wy6MH1FN2LIx5fftuk+sz+keAekaiqWcUIQ38uVdpDyhyZVuzJETbPjsKqr/XIsl0MmF55ITtIm
Di0Z2ihjQ76HVqgav1i8/66fe8vQQJtuVBrmJsOv7RC+SlHiOe0dyMJJFoMMe5Adqmtsq3so5a8W
1V7mhQPw7gtew2QMCmAF7pDok1fjErSv64z57WaCU7Xuj17qGtkQm3Lvg+XLtiIsHjSTXkonLpes
hepCmFR1Cc1wqEo0nXwZ0FR7KsbJmu0y1ItddAkMATjCaQObD7u3a6ma0XN8Z60LB9IkSTv0Zbz2
4h3Ujp5VInvzbVAd9mZkf7rZ3ckIx9lBtxp2CMKm1SbJo87Y8WYind/RG0Q5mNWwfKuzZK/2ViZQ
cDTytOJw0p6f8Pi+8A3O7bz2IHySZlB2QriN4EgVvwhFXEqZ4qtYmIH6G5oGtGxrDXyETV7X+ehV
fIFTL+6LL8cJzizMszJGGV+2Mg3Dywb2873yUo7LKlu4hgrX1AXbFKVzc5aHKHyOccvsI9J/qrT8
3R8Tl1gGX/yHZ84tTB1uWfWiQ6i2J7oYu/4YFmIWH8NZetxsO1bOzUWwwKrgohV5V72Fc7jpseV4
PRU0WFik1sTC6QpLUBQvqprNeFN13aI3a5ol67smWbQ9rluIuRvL8vk9qSg9H9t8OFt0Nh6TBM5W
VCucgZFFYaXpepUh2N/ystifU3FVa9maLSzY6ApX+2mThcD8fJ63WbBu4dNGPyM4acb3fkp3FujA
a+zwfkPyLk1Q/nxUhbrAGqd+AZa4lLgmKFgD1dEixnN4w3H3UqH00k9yx8fAWnOpAj4VMVmBZ1ti
eoob89hBGntHeGiqOF7G2qBKVzMXcdfCWR2nvVnLaasWYD1sJ1ghpKdw+HeZeVXX4Ly++7BCnWKc
jqyIgzbgO1pM5fHalulvfnpyfE62JBbWiKSIx4Zm2yBZ3ww5fkxPe2Uf0pOTGqAw1bbobRHz0urX
wKqmL2SWztdzjoJHKpsPPcJxOmGiRIrbrtiZmRR8mw1d3+lo7KHYfqon2NH2yKL6AZO7rDmgJ6R2
5GW6gy/RLYpjy2YE7LCg3OlqlXgDjG6/qhJxSXRpBrWTpC9BaTUOgOjG34Aj8gxg++/UuhsfAzhw
BAoBdREjaMcNZDoeCHrEQT9gCZdEJwhwOVfYg7st0k4Mp6o07LiRCvr+PB3L0ItdQMT+6XeWiAzG
5lqLAI7pgIMEYa97+ofqhN/WVrL/iqu7o5tFdVovfR4LwYZj4FzLKMmQ32KFuES6UUMpkliUxZpK
etyOS7WVSnut44hwgBzyFpWlKJMtGvVZmJCINtxT5w6MFxKWphlg6HWlu0R1x5XGXutD4nLoFjh1
TRtVJNtC43PBgvOO+1XxiMuhA1rh/iBcnWzbfOrOcmOGOGDktZfbdCl0CRPZuJAAJjtKza5texot
qqTHfqM7KA1V0ScsDHQstGnPgfX6pksXv8NhicuhS7lIgxFbHZcLLo+tGuqTsCv9qKjEpdEFywz9
lKrXsc7zbttm8iIQvdn56cWB55yHnTWkUduhono+xnj6re2Lwq+oCMfg30d/1qihK2mttvXYPS/K
Js77xi+Iu1S6JZvntEohkSoHq6Pa1uFmLdkjnnf/+gfCrMukG4Gdv8IOPwCRGRs4nbvftBxOFPbT
uRNgVzikx4xDq2HXUrVs6rRtuijpa+VHSIMDqe8rXVUL7LkomIKNVs0KB6KXSX/ezIX22wdJXDad
5XVSiw4OSq+mFXq2L4EF8IhmPpVqD+jd5dJRviI4nCrN/i9nX7YkKa5t+UMXM0BoegXcIzzmnCKz
8gWrHIpJAiEJhPj6Xn6fuqJPnWqL1zRLAgck7b32Gm6ymJDtPu01hcCohXHoZzglzTc9lQcp+bJp
emJA10K1+JFusOM0LJ6XVabL6YDvff6n5jTfbhpBev4uBB5ZzH9/rHuyZPDd8Nd2yfr20pNUrDCk
H91Uv+u7eEvDm/reI1et4/VuO4YNKg7rVHXIhCbv6z3e8vCsH9dja8x6WufOnLQoQm1k8S6kmbyl
4aFko8QQvZ6yq+9XoAuU2gV/F7/6GqjwtyrC8K1wjcfFtxXezcoVSzmr/H0cPwRA/P3qRbdCDb9O
6ykfMlORMRtKIBI/3vdW36z2eRRIlCKNP215p0uRJBBw7UX6vnPtLQmvBdc0LRLiTzOYNeU82vZJ
ceJf33Xvbzl4RTCGZGzxp0Ri6lGMR3vqI33fg3nr+dXbkM0YxPoTPCrzl0nv4w+WHvx9ZdBbAt5B
O8RkrJs7TRNTFZyr4QhTNO9zPUEsx9+/GCU9OYig7tTz3Z5p4+Evnozvm7GTtyQ8EnJyqNG7Ewm6
A+PKf4a8ev+XPfYfjra3Zl9rWGCZxaM7RZ4d5ZiOtuLjO2uV4s06pePKErLgqR8adi3Bx79S271P
S0jeOn0lh9FLo8h6aqGeqWXougr78fuG90jh+/srPSCDaPoNhRU3+Q+nySfd5e+TVyNr5u/X7jQg
5dkU66lPbVruJm9OTQMa3X9fpf/QJr5lf6lsXPJxJuLMGkW3l27VvT5Hlit7LqzBKfjf/8w/fDhv
mWDNRpoiG/AjaC6SestpW037+j4mGHnr92W6hnvPcPW2nfpagAZWyTn+et+tv1mu44DtAHxGezK7
iVWvl6F2unnfwfeWCSZNkXpNqT1t47qddSfyEgbGx/tOvrdMsKjRbhw22JPvDnXO3PjlyAb6zlf6
ZrkenS6OGVjPyYiOV1rtQwVK6vto/5jq//2rn3jknovGnBKd2Go4zITonvg+5yYooP9+9aYolM0G
Zk69X7rqoFpVAjb576vF3nLA1iwCcratOA/DdHw+UrO/Dun0b771/7CU3rLAGhJCtoKsfKI2gx7l
WnCYPPs3jPCfrv6m10XCDeDqKOW5SACdb8nPWU2f37WQ3rK/xizPGuRn8DN8vhpVbgfYib7b3bt4
rOQt/StTM5mP1MozNXoCAXfYWffAMjWJ963Vt3ZfxokVVbyRZ+mycpD5nUrfWYm9JX/BiGvxMcel
dYHj78qHmN5HSCRvmV8Ig+ibji/yfFytj8aQFVXRifC+giB/s0yHVHX+iHNRw4XrdrLmJWXvcxMk
b2lfKQWpiGhdIDYs3AxT8lBM/Yd3fYn/D+ULNkKdJVNR52zV2U1hFHTXXdDrl/dd/82weTLZMqh1
5udiznZYqBeuuLtK9f7NT/C6GP9Dp/uWz9UnoylEaNhZm8Td+mbb9JPjadueoFPlzaXVR+ge/dH8
fzTX/9uq/qc/+qaF5TFvpm1Y1DVHLUx7lale5eY0jlh16tw1+6jKZdaIqyknsuBs34doJ36ZlWGd
PqOxHkZdqmPc4qVrYtL8SUgA7W5KQWkdSzLEI4QSRY5ZHkZEiJvHzTUhY5c9KfgylvZQbdKXKZE9
aUvruUEhNDO8upLKZW7/NLbTa1YWI+/1hRwj7J7riIaet3VctmCrMZJh/wQLubD1JR0R8QOb79jv
biozuSasKGWENfx4m5mRwfpeA7P0uoSuQK24Qcfn6YvJNRqZgQ/iL200/tmuSG2rGei+pFzxhMZq
20Le3xxx3ZG6NKbETX/OAG35Wu4WkYShpIK13R9TX4zyp25XBP1AyHnMVpdw+xritytJ79YcOu7l
BNMoV4XQu2ysOYSTzenAyCY/JXmzu6oR+NJktbEQqa7z7aDpfSY2Js89XQ8NXdgyx1ukBEwVZ2Zj
j0O69qJOexJI1XG2oAoTWtRCwwC33JeWLRP4m8PctbWX6Pd5BYRkR7yet8tkeSlyxqEb2fqbpuAo
G7GXML3e4W3NXV9agcqulFmidL3qKf++eI0AwHjs/OfaH5GcjZ3p+HTYXLDXbsk5fyK+IeThaDqx
trU6oFEpzjKsGRwRDsZX9QiFhsD7Mn1vcHNtesh2PadwNUY1ptP5GG8jQ47hj0Xofm6reQMYfOFQ
IMnP2c53Fys1FUgSa0VytYFUq5pCAhXLAdIWHHT4uq2niHc5z5ecAkjLL2ycRFeObJRnNnZTNbM9
aAs0JSZuu1aWm7tPVzeegsUe9cTmdh0+73veTgKfw5yv54FQt1dz2xU5XGK7qGr0NZ34Q3gyzfdy
P9D4dTRdEVQYjAeYX0pBeY4KyntCSCUpIcOHbBSWnWGwMu73Ux4yoNqph7fagTGz31pot9LomAeT
k8FkLVXrj1wl0MzYjRfmE6c6E3XXODr8QO8jFBaNLuatdgOd3dO4pi37DHrWos9D5JAJyTmd6d1B
k3x8yLowHr/6Sc0rFDM2mYunBYu2O02mi/kFmZLD8rVLtEhzbG9jy2jJdSHNU+r9mP0okIgoYtm0
Urc3IWwbvUttX8zfhsAireB5n0KN3gaSSVg7U6Z+Nj60Y1uOyyh+UMIW8xXq8qOrMF3C2QWdxxwf
wepzAv95Toqf82C346JzE+Pn8UizrDIdVtLPocBnftuO+fHkZdqe03wRw7OwK2enVPSm+7iM3X68
BAg88gSTaPgGiPrqRMwuLvhp+mvE5Ka7H9hC4s08D6q5WXKZ2ft1kTyvhoIU+R+C5YX8lYWxeYKE
PLnDGOn4CWmLLodA27qFQVBS7/0hwh0yJLbjFuZB5JuSfSFro6B0/MBjp6anrG367BLmfo2nZOmG
/VZGm7IbzvYx/ZqyZmw+dotsTWWiT+CJOKQSOZ1SMwT5bYej9tGlh08vxDCjviC4o5mfVyp5d067
cea134cNe2egwnZn8Kcz+7jIjf1U8ASYqgaQYXju9tRiK+nmPZwYnb1t6xTTqu1+HGBwfG7a1UBe
k/Ct/dwJJ4uLNsaw0jeJZT+6Tg6maic3euRVTlmTIuioIPvFKe187UOeJrV3U56VkzqC+YN4iTuo
adpmsDPccRd90jpbDnviptN0teQpYWh3jE9LgDDtRI0N3/M0BoZ4tRbpsRWiINgjyqX2d4MlzKtB
dbmumA50/hoX5DPC4EhrWJ6VZDyO/hI8VLKfI/LpbFN2i+c79vvDhHkuB49jOpRAvDf3M6wboa+I
4LA4EEa41ciPCle5vkjjV3tCiCMmnacp5JqW0H5O9EbJTI6nbWuJimWbeXHch921QC12xFjJ27SJ
qBGhZOu6i0PKWlIetu+TT4yONq+7gq1J7dItkzWPxzG82vQgw+3mjyBvVj0nTb2EvIkPBGE5L2nm
hv4TkKM8jmWvlJdnuMa3/k6O6GCeIiAxcS7GHuedbxq6gOdddPuDbtNhrObDZr4qjOUJdAvWNX2A
eu5w2UefjhpijAlpri/9nvL8dsbIeHia4XTXL+UWCwTowFcc2bFWZpeMSOefqVuS6c+834V6YIo4
fGNTp1X3iyhx4EvQsGxzp7kV/XbGL9uHE9Vj4b6wceuaO9f2A7lARMvU42pzBHydsB0pViOXiTS/
D1glw9PcdQPSV+e+bcFthgIL3wjydoe7bvDR3JpBE3CGc3CI05MzSD0sNx+n/BP+pnjdsg7Zqgqm
8dCky7ybi2qB/WJbJdifmmpvzP5pyJknt0IaaF3oNIGsqjcrkiqa1SNSzs5hh4Bk41mFgYLoXnC7
lD4jvrXtb5MpLzA5QlRssn7W+pinO1B3uwNV0XTsP3FquGmER2qaZh+ukxqSVqRb+PF4pLLQDjvx
EZuLGPDqYTTLkG72ELAhL89Iv3D2kvpO+tvdM0mvJ/fewROgxWN0rvQSqzyFX117rG219CHGD0Tu
SpZITRPszAuN/a0cSRjsc+ozsfx5WGeKoVR+2+klFiTdnwp8/d23we2IoMGPJHPzPAIOCx/FiId4
d+SD3euJrNTf4vxPTIuHm+vtFA7OA+KBkb974GXadjtvYUz0F55Fr182PLPtbhlAC30etr7rq2Lo
ZvdtNzynf+icR6FLOISlk8GTIqr9NcEzNX2Ba30h/5zhvDJ+X9Qy5uivYIhIKj3kA7/V3LuI+q1L
BZvLJVkjjkK14/hAtQfLWJbQjdcOJg1zBEePJz/gKh+LKsWhPlyOdRk/8xXf92lMg2JVvx/AXDWf
iq80By+iIlE0Q4VetOBIRJz5epMrThHpS/ZUL0+mWzpIjjPYd56NHNT8SLQJiSoZFFh/DjNifM80
64vtOZtSC/9dzFnl50JMoTtvCkk5L0vekW/CIeWldkUDKED0iWdPcTINP6d2CPkz5k9k+qhG7o77
bJiWGRtmgbUBWjyIauJmhImqfWy0kmavRFG0LxHMl6TaWa+3j+4ICwTR0L3moYKNYTNWXGa9eR4d
MKay061aTiRCV6vOkKhlJ9GQaapt2uR4E32nssdiNdckV+auxY8AtbJrKyk2mtd6XdJsLcdjj18H
oeCaVB4aqsXPBuI28to6Nj/YaUXFVXXtkFTZAFe4WGF330oeGPFf8xW2B7ctCwbnPd9TlOkEAl7j
y0iKxF963EL6YZ0nz6ucsqUeY7dON+OOpf4HTW3YzjkfVYZkEgvLs6zoiaiJAj24dCQ7zhKHUfCl
pc3gnlZQp+RUaaa5ehhdE59FvAagHvYg906IMT0JJNjsOEZRctT2KLDtB7Ul7WVkE0U+tmqy7eNk
16zCjGTJv0fVhK1qQlfcolxDauYIFc0MpL20+9Dddt7AWKOArhqHLamOw0tTzghDYrW3aX7boh74
GjQn9y2slHTJ5LC4qsty1sKz1eTlPBcDuxOhjb8KqH+GxxxLR98cgzvk45Lk9iUNsHhFC0T8Q8tE
fqB2ygr7siUGtF2/84pBRv6IeQ7E2ggvJXAjhwz5MVqRf5lD0p7GfGBjqfXu77dRyec2wEG/HvEZ
V3RfQ5V3TX9bFIV8WFkb79psV99juw2fJFG26lP2QVGrv9BBTrJsU+NAO1nVOC7lnvYyuBKB3l08
R0TVxVu25e0ry3Zz54coZI3PmVX6WI/9PNmB3kXQF4svIRH8U6sCWAt17iee3Daab0GVDb5cAZl8
7NJfvW+i/0IpY7Hcer0LUDmzLcS6v/oBXFTcD9imCJtFg2TdZXE5+piezEPdsi1L7rasgBobstKQ
3tkua+STS3bnzxt0/unrwVTOKhmLzd+vhaHtd1SuejlRnyf5relNXzwM+6YQ9tpOmypDZqx4Jasy
6fNCVmJOsGmIEywJHOsuc7JJ9UfSIUt4qGjsaV+nbuh8udIepaj0K+8rq1CjhLIhCSGqjDSu/c9d
ULI8bPu8HT8QShVQDnVeUHzdCmuLmnKAYGg4wUWnyW+sUP3wYc/Q+5/mqSD67Dn2nRodTcsvy5V+
d1q4zskzRDUDvQd/lmR1JncqLxlkU/tfPcjY+nl1Xpi0irLduju3OJKyEoYiAuPRY8hV/IDWmOfo
gkHZPO6dUw77QjfxkD0ajSX5aUSzGv4Y6SgvxYwRGXE68D8yR8bku8aAFW3yPlMkLgKE7ip8HSiW
ymbdsLs7u+71plsrvjJo+v2rCNjbvzm3yHyoKV8SnFfNRJPtEwvHsLdlkueclN43VleyISp/cofY
418F5P7ql+2hZjuJAbGFH6PqdgnDATrbF2Q803E/TRvcXW9kn+TzC8Mqw46YErsIbE/dzgEWdhNk
zbcDSbtwS8ZuTHVdHBYlQKkYYy1s4Gf0H6j4hqWKm7nWIohx8eHD4K1tw40c29G+KpfM23keEi8v
zsmV4o0dMth6ydW+fR8lhRaJdaN0330Yl+1s2lQnlRzX7L5f2oZVCwbh/iEOQ9HilfAeYkAHlL2y
ZltQlC4MdjKv6wGXXAikl+ZhbvPlJjS7+LiQPHpUB/Q4zHNUSpUW2aAlRGHtSpAvJob5HIOgsWoR
p7peDuLQoHVy5aXzYU5M6Vcf3AeeBd79tSHaRJyOMU27moXruVq2DhkTtw3K7Ice1lz46kimyV0z
IJ/13rRx/ioFHkJNvC8yVaY9KA+vTh1Dgio1psnNfuC7vkEdkPE7jyNg+DME0t+gBcjkHzMsznlX
Udmm/Uez0a6DJXSmWb+W+MgoqQR21YhuLoFw7uBd1j+JIaRHZbHgv4wZ1SfV9GzCUmvWuzkFgvEI
vILQFzHtbLwLm5U/gMR8Q+nhc4ZIFQYK+IyMmPzjlLfNd/hZDH3damyK/WDHR+9TVGYHDEbCRXHR
VeaICByBrCO97bkl6nHxxKlH26zufjVmHv5EQLT/nSyjc/W+JniNxc5fx7W4DndGgbN9L8IrQy3h
6/ZYUKuD1+T3UgWuzxArS1YOJrSoDTCq3BB2J3bgtdgJHfAdPzwFqEyQwCiuSA+E3/Z1RDFW5hQM
9AugdOkeyCKW5IVwkPhACuJTu1021rZe4aWsMXVQdDdDf9pTIgZ+GgTrP7QLsuFPGdQry1/7lo9b
lXRArr7DqwFpuJYKV5ymLo85Ps0+/2R79CM3cRpcmQ/YQE25rRYpdm2+dj8F1S5/JWHttipql6Hb
4YXa9nLYhEr+6Pus+SGupcmt2KEy/xKZ+e1H5QuUu3LJUMzqYlxvJTJBRCWZ1b9niiVbCkR2VIgF
SYuTkoX4X/BvJAceQhQn+Fs2BVoZhKqf95wH/s20iYT+uJcNkMFEajgjOQOLghpFiQ53lM3zT6V2
kmGfK7pheoVTmxyq3HaB3A6+iL/QOrfHvVV581t36pAU+d9xyx90F4rlS9KkjP7OEJlBf6G17ICM
DC19kLMdsXekXazyNlvCi5UNN9B1YLZUtKxNX/qEMaDZKD3SexpgKHqWm2V5vfsjJaeNbW4rlV73
T/BEzoqvxsrtQ5IU7qtoePYF3A9/3MwNREC3yYzGeFd6306sEDD0PYbNfMUzH++nbAStjQ0I4IbH
STFf5k7KpaJm0qE0STN+g1J3LxcK8ZYxRWD3djfJC2dhf2Ty6MR5bmC9cFI07jcLYiVuMqPSS4FM
Zux5E3GvnWxpfDbtDPXwtsHvp6TL2vhPYYXF63cYiKA5czEU3TdAw4SXbIt4DnkYBmwLkmRkRsXB
oT8Wqf/S7QxFIgGU0LaoMgaawB6WH0ltQYOnJypa4CYB8erIKeH26G9yk5pX2K8P48dczBCB70hg
+NjjRkrSb5lZK2zb0YfSAhsjz2bseFERg9v5Ms9NmM/D0gxdlRfchB9XrutlnpTW9zvnh8LfGBP3
ccyKoJ5JywMKttiTsxAmmW9BoeThA6Do6YRtYprOltLB1Xm3qQx0OQTDnuaQYhOBP8Yd3gXgiMbQ
2aDdDiAtbzH6jy7phq2a6JqpuyTZ9HED+7HjV0IRm1QqREPet8e8Y/k0Ao9jDOlplMVaLYsPd2TO
UHB2/XQfTUc/gr28QCEAf0fgHDBqIAVvviUH6ORnAYVM/AKcad9wELk0++WFbXOODJzxADzg1Gqm
y4QJRf+9OxanK7wpCN7F2KEyx46pNl11S2PgXw7zIvkIizTBKxmYWS/7XCzihiMDHNGozcZEXyYU
tofnIMl1ESbD1rZIV1zQMWHzGevhcDJcPEQZsszn3SssY8y7fq84O5uLsT5t6w2O2imYmDovste5
QIVWb0HaruLFxqD18SyOrz2DTU2dwm++/6YAaBSlntau+5LuB3aPNklYdsd4pmmlZa7yegYatlXz
tAHaKiGC2tt6gLgwfS7MYsUHBIL0WxnhAm1Oa2zoXMb8KFDBSJP5n4lFqkJJIfWQH5Bls/GbLprA
fzL8qPDVoUBlD9RlileF4mP+otqQwjTZoCnoeqf1xwgB/3jOB5fqWFKI7TcAmN10tGjUPSAHfNQ7
ikJktDcLgrWlax67Oe2PS1ak+/QoDXDakhkS4JduOvs7paTvnvKjmcBLatJxul3FluQv0E1yhjVl
yREw/5miOSO/MdgzmG5GV5iq0PXHFLRLEJB4eHFJFOCUb6nS1zfE0PjUmZVmgBgVDZh+WoEfjhX0
Fd6tJbxYsvw+ZTlFc0l9Mt324FlsP0Iepasbxhp/E7Bfh9pSY8aTIkQsdY5EGj+Wi9WxO6MbVPK+
KWC/BvKlusaDIS1troeul/td41MuKuhEWklrODGkWFB9ozHPxih0bu/YtpMDNYs3xS1AghnT+gW1
XQkcNhtLCEaPoV7wGahzsa/Z8pv3dFQJeoes8AR5tzAx+cuMWkHPNWJC5nGYatSJRZUoK29YbvK4
X8ZMEPEKz2jtHwJa+93gh/fFUKAG2cn8THmv9q8Jfo1Myi7zZF7PVzdrNKSbOLbiab120PdNMo87
ii/wZWEwFZu2fY46c2hW7EoYFngxArPiFWYtFN1q6rScfvYR3TW4fZHr9Lf1W7KgGOAUDdPsoW3c
kFYz2zsn51U8U2weLUpFMRy/xg7TiO/DEObxXLTFlAQ8XUMmZDEz238oUO5jLeeSF/RsUBotvztT
0CBKn0m4NQderOJzBnyuR/wL8H//Q9piHV9Nss7Jy9xi4PNhuzaqcCyIQuUV3xb4GkM2Z6y6dBpz
L3wkhSFny9H4sBNyFNflHgrAlobqwAxpRqfbW97zOqXMi/tgMEl6QHUt2APKosJ9mtQw2jvekjBf
khXB7N9JmjZpxa4123mddbKWiucheZhTuFN9SFa39tjjYENfSVTG0ymuWtin3nkIXTRN+fb5UKA0
ViJ1GPL0RE2wmLFt4n8K5kzzmQSHzX9CvsGwHXfJgfhulKzwNVSXYFoSUU8h4rrK+O7X2zhPktxa
oOzhRo3sSF+BKlJ614+YBFYm1SAAnKAnTq2o8W0ewLauiFpyXmyerxVhekhKrLlHZlwsMGuksMc4
pxmo1cu5TzLMe9iEEU8sFSLWRBmX3dDadpwWt35f5XFrij1JJ1i65WGVwPRaZKXNq8yGB5pZ516p
g6v6b94Wq35AYdvzs6LdKj+FgNFMrVoxtFAngpD20k+TYvdNq6bxUxB4MPcxF6O7S1dE6jxuuNcc
iebxoC/DynV7tw9Wjl/Q6PXNVqUrquWlHmahAVsX8Gjr02rFYjZJBe8PFk2NOSAX8jyCDni1MOZ/
wMEwdVklJQww9UljFOTWCwowiwfr+WDsC87pCcAzyDgYpaF2k/ETwWOHuErSbjy+YHrS7OcNK/ks
j4M/oIlmyX2eNBKFHUvhXpdfx3giv0kHxszNOPCFPhxqhvI6y+Ps/wj9KmFaMa6wDjn71uyxK7PA
KMeMMwfpKl2c2CoGYMN91xss619m2C64/Hy1es2AaewU4e7CHnIbKqlDGOuo7TVRzjv2RG1TTJcC
St5wu0xmJXW7RTM95A4+NYBIU8xb52j5eu4B4mdl4rIsOWNG6ftaiVai7TSLM6iQiO7JnztHivx9
c7TD/hGWDIUH9t419vhFJkraH2acU3VJCaSOlxSo7/II1wDrPytYUqO2mWixP2RF4uJfcaGDeYix
TRwAvj0X1SFRjpTAl1fMVnrnQPZbfPG4ptqFykcEh14sbmGo1yPPxwrceIaZeVFc6bWbOEswm5/U
hmTgL2kYW/do/ZFNdxyxd8f1bfMGWgfpI5LhHS+GH4D5ElIPVCTGwawV/UzlJnzt+oTKesQBiY30
2uYHa8KzTOxGqpgkmcViEYuFXMLQ6xOUBnAVKglL5bPjm0pgN9Dz/td6PR9/8RX2CdCS0/ayzDJm
ZYr9Tn0i1uYea6+levGlEQ6qakBMCIriXdqnNXhDCeg1pF2ap7zjPpyxjcILcVNTv/32w272h/ng
mn61+8oKNC/LsN7FyI/9q+DabM9XD0dy6/TalBpmN0uJarS9guVm33DmYoD5ImKU/M51UBo8YVCi
IXhHbXwA2lpGoFYUwZUF9X9CuLqIEsKiPJx2ZkagdnbpPoImkaEi2hDK/HEAsxHnIjI24N0oN9HI
V25SCab5lGKetd1MjV1mX/bQ+xXlLMAjIBVm33b9DSCpBXgLwCb1fwKtOPqkZB7l61BS7LIeGKKa
ofYoYVKPvvO8Qx6KcKBpL1j3BxTWcbXlGhBis9zozdN+qMIC/3DUoSnbaVZb0oHKUf+Psx72vAkV
N5hUEV+lYAS5MhF+aSoYJZMvBP87ud9C15qL7K7Yb4v2ezfXPbNonufc2RPQgmMFyTppksv/NOue
7tEV6hZG3ftep2yY1/KIHX3GwGpaa9ZA/P0+BtNbZyEWi0nPk1OnVH4bis9sex+5/q2hEFVkw7gG
1yX9RwHQoqfvlNC8DZ2b4dYom57zM47JFCCS3NJHh93a/YuG9x8MqzAy+Ds7ElBY7sFIw2Qiwfpb
urn39zokMzwQnTUAnPJtQCwAl0v+sjtAt2iwhiSt5mTHe/rvFKorq+g/sY3eEMtajGj2PrH8PCPN
VNU9RC2PIA8uFeo1jB8xixOX//6X/olM9YYLaheHTw2c4jMMARb+yce5WWvTos6tA04muJPC/kGh
Kt3j9C9P+B9Ilm/diQbww3Ca5PTMBDI5PGxnTguw5n/5Qf909TfsM4NEP8c7ScEc0T9Gm70GYZp/
oYv/07Xf0ENRpi/atA09R8R+lJ2Nl35V5J0Xf8Mw81nmp3ll9AwM+oRBal82GZDH//6a/+nO39C4
m33rPZU9O7dp4nCmb02ZdTj933f161/9v3TQ+WgI2EF4Lvmh4c3rJVImj/nTf7/4P3yhKfn7xdn/
oe7Mlitnruz8Kgrd4zeQidHR0gVw5sOZLLLIGwSHKiAxJObx6f0dtrrd+t3RYTt845BCoSoWqw5J
nMy99/rW2q1VTvWc8bikXiC+OmZKU2S6i2CvkC/KOqwHaOwDJien/r9azyf/HFOU+snkkdni7FiH
6rzYTdvdZBbj1f/6C/o+XP+Td/efQ4q8bJGMhRJ7V/pBygQ60MuEuMJ/fi1W7z7bVN78jrYt7e5V
nT1lq3qyeNKcQ9ypIaVXSdIt2xm/5lGyujnsPUqyf311/+1z/u/Jr+ruX19H9/d/4defVU2zn6T9
n37596eq5L//cvmcf/8z//wZf9//qm7ey1/dn//QP30Of+8//t3Ne//+T7/YUpf3y/3wq10efnVD
0X///bzCy5/83/3gX359/y1PS/3rb399/yqV3tD0tOqz/+s/PnT8+ttfrcC9LNH695Wyl3/hHx++
fAl/++v1+1e6vP/lrn3/+tWl/8mn/nrv+r/91Rd/+I7PMhGLXeF0VZd1S9Ovy0c8+w/TokkzacGE
bwneZZrdp+nf/ircP3w+IfAD26ZA8S4ZSV01fH/I+sP0CO0OXJeJvH8JZ/q378E//ZT+50/tL3oo
7yql+44vih72ny4Nz3Yt03UtVyAVe7b5v7gtlWWA2OVrt5uLIbU3ZFZhCu3a9NYwMvOZRCLrxW/Q
YqN2RSJWEnTm5Ou6P/qTyh61LdRt24xJA/Ky2F+OyoOnVSPq7gFqhXsV62FInxMsvktoGBW0SZyJ
kFECs1xDmmFnFg8NDNQPz6kcsIJhvK01YmPWzkZY6+lJOXX5lKxafw2OJ29bs8wOwq79k7uu6bFN
yuGuzOcCgMljOUTUkSBYRw2ZMlGPyrNPHeL4I93r9ezDk5pRO/jLfTDE4xJmyi2qk2ibB3rocn0Y
g66SRzddy8faZFaxyVQ7PpZWVQan1Z4IZwvMgjhx32aOeRRJAUUg8Xl+GYY/sI2m0aD6smRyckUI
ZxCcaAM8KInJFu39QuvwZbd2pfZJMOfjs2ElwVcFqPKxWlNlHUQbNOW29yRB59lkuDsVBG2xMdxc
lLeO7+nptMJu/O4pc6ubOS2bt0IM1lPlijKUbezfC3tx9syOj6krpXGqjbQ29xAw7gdvaHs8Spd3
dthQBSdhkeIBDNO5Zso+thWTp8RWUWzZeQrZaz4xUFKvQ2EnX/SO7edsdt5N6anF23Y+PsU4nRI7
cpj/nD1L9HudxIxLcrrDPd8V24p6osdRZBtCJ7muV8iYfLqMppIrWRhl/rbycDxkGYaVsDe1eTJa
Pw8rg9lJvyZBEdYAlKFlykRF9VC2YZG46WaQ2mXMmAuWierJOxl1loC6559DydMy6wZEQZXVEK2E
aj76XZ+EtOk5nS9f98AUMsqMlfFyYs/Vu1nNMdTRIH8nRem/2G3JQ26ZXS7f0tpD362LMfKG+UNi
Rw5Rfo1DNgMsknmq6KLXPsXLH6iz25cPtcwUAHKbXjnO4twTwRG8tm2hrhNaSHdbLGu6B6bzP9tS
kIILelD8HGmaBrRaZwYyU8mcML8VpaL11GnOQu1i9ukPiqw+dVoae89fmzlciqS7muJRwQnoh4us
t1WVZTd7O+tFWMvgqbDt8bW1PSYh9cjzHiBkMlAfWeS88yt82oB25frulOmQvgwmKDKMT+oVMGlu
hmfOMqbpyIbSdAynAe9lVDHX0EeLOWUSUj+nP7tJzU1I39VXO0SLcb5q6J+DTZpPDXetL2QKWueK
JkqNybrtWmV5IaFR7qtcvdaYQz/hvtzH5WC/QIg2xg24TtqCYat02M1YX5wNIZpiiXJ3ks5uWubF
3DCHhBITpnZy3uvww/ON3RCOf03XPWVwPJlZPjIltfUDlo2cYbUXW9ML2iSksekV+QydafjwDcjn
tIRLsPKUrVN16FPVP5lZ4RzpPZLmMYc+9OmyeqLGJ6YUV2PBMC+UTs2lvqxW8cx2pUFEdpXlv4qp
D9qtjOOW0iJvDHOTOF7R8SCtegg7OOoi0oMVj5tyLX63DAmBbeSE+yCr8+7IkzkP8NroDRYzxft2
VPpGa8f5co1ZiwOrWAN1Gmyn/ZAsjzLgl4nfjlMHJUjxIQ6JWfzQrm39aJgwsLUKQWZX5HZycMy6
SaLUh7fxCAtFoLUCetwYNWsM83SFteCA9LpoyIamQt8FRIeCig0+KJlHFnOuwQh1O72Oo/avx9zR
LxXlCAtgkeRuhokAVY0Dbw7bup63nEMJ/Cf6xcG1+ul6hF29iw0IjMjP0mCXGe58Dz+zwMFr8VCO
OrWjCVYjiXKdVMcYdLgL62KGmyRz7NyTJB85Rts8WVrIl7J3p53VMnZcdeAeB/a4Q3NzRZZb5n7m
x0xSTyQNAT6ZQMmuMOzrsDeXIbiqq96INPhVHuYVCmxq6/rW6Kvh3ZTz/KbAg5671MqP7jBmIGZj
/MBtqXw0AK97qqxs/mh6ZX+BNk9PU1tOEDH6MeBYYs1e4zEgTcfqkYnUnFHJpvWpaXJOXh83xcEq
G7khTdrZo4JlKnLsnhEOaJBKd34xrm3I/rvXxNP8WIdOd2c0S/93MNIcagWJSUqUidLal2+eVxrJ
pnJMMR1MMchtMRbMLUVRHcpyrLYtaNwNrKmE+qt6K9stFl8wgpH1q66UcTXEmbzMc2EarnA7rvUG
wq360RRT4YUxwU0cAWNtH2s0i3Oep0m/wU1gO+Fi9urNQV29H4dFXl9yl291m4scRcT/5Gpur/AZ
dK/Z6EiejRmUqZ7z5FyyzoDXsnBQOXJuH4je4dc9KWO3vJb+rYSYfs6tzp2YnVTrg/Ca9Kicpe4R
S7xd52W/wLeKH663ZtspLlV/w09Pv5orOzFnBBZCTnpnXwk726iq/hq9db1LSWO/oXKZ0U91+ZPt
nC3ZqoZKj8TQpiHJli0yISb+kLm13LDEw703a8uE3RmC5d4acD8/MuIwTsKu2jdhaR4wZsYrDVbV
MCie2mqcQibk/YfbjPYbI7vxHqTUlUeEq/xnNSUXLcPuC96MhN9+VFPXf0LhjPB3c9Uapw7MLuO7
yiqD3ZiM3iMaA8CKdArvVCPgpyH6Gv/LDAcxn7+Nw8w0PG/ctJR5kSMaPpjTwNzb5FRHztRxMvPD
tZ4vWHi/7UGrq4jPLjc1hVkT1s6s9mhb/W+nCshAyUd+bcp0+I20Mh6LyamvJrf1To6h6vu8Aq0K
Ow9nzcYpRlYDA/zs06bszioFWYe0d08BQkYTWq0qXpCqixQGoeOyWfjmdNjcR17hmPLBAEwxOLRZ
2WW7GlL9vQl0Zm8bdgO/K5rAz76bPXvbdaMmn4xeNg0Fk+f8zjKc9swPvslCwadrgAcSGsPS6/Qt
Y8P1gcI0hTZPRBHayk/qTTUUKw+rESes0MiqN1Chkveb1BM666qsMM5HyB2nqV911btI6FiuWDHl
OGc7jnFYDUO3HeOWUZ7PbO2cVA3KWm05+RF6ghxBzkyoRd+sXno/aT5Xs2qWUFaec6NSlm6HCHXu
Q1ot8xUMsX6qgoHX1raVc1NdpKNoYlfLUTdrIrfCTqo7Tn3UrtZDu6DYQftm0pj8iK3icu6wYMbu
RMDEvQywSrQxRdNmqTJdRnJemjdfZVw1vhGst23ZOPbmsrHmve8rZ+ulWVcR3EiGo1QC5debSjzw
6WKbZogIO1/3rTXYUeeb649k7YOngFWWfkQnsN4oQMKDrmY9bjAE2T/NwBnTxxyF5a6xU1lsOWD8
r57asg/n2STaqeNmvtPJ4pzSoorNUJW9f5CVNPoo91ID1p/v2QHwcdw78E5diBzj3StgJyxSGAQe
XW6dTe3icE3XHmgfseVuWhLqttRpuvtC9M64M4PVgfmYDHOhsh/RgdoxcR+xbynoabbXgLXky60j
mxyf2CwfmpqD+uBKUMtQGY67dUbH+OLEy3bcz+5OLH72y1sYrVIKOT8CTAjWrmPR3gMyj/tWrRkA
YpBKFREk2WILIZf8lLqV95qTYn0H1Wd8oPFkj+aStuosur48a/CN34FvqvpqTboqDnGdlF/Snvvn
dZqXAz6q8ezVTq42LGsGfESEyzSjinYB0tScQoemYXfR0mTGD9DSYtwWXd3tzd5hqpi2QeQtYPJR
49RyazF0HiIt2LCAK2FK0dbH5WX1SUBhxRmGL2zhjbdJS+KmsATVV32F4rSBGGq3k07UeU4682iV
w8/54tyLk0ptVhRWXoho3mIMTjRTbn2aU+kfFYnS3F2Jfa8mr986OEqSUC0Ta4U4vEJppM8CZTiE
wp4hD8nbFV3wu/LsQ+fK9khsbrJt/B7l2UjnPQRjtY/VEv+KkT1ubVFx/i0BogWMsAgN9hGBq6T7
iRIB4ymrkW6QgKq7GVXw2GR1t8NloA/IxfkZV8vwydKv+t67JJtG8UhpVMxe9WRz9zE1nDqWygfJ
G+VMF+EuecCpRd858EKX1Yu5wZnye2MVo8fi1auDlrClZOiuBnYSUYCM62ZS0yfdQ3/ENYJzk5sY
I4ue+q+80ea0zabCPxZZ6r9ljUCOgODtTxMPSGQYS3tuG4GbpMqzE36k8X31m6+1NqitwLEu1ynd
WJ3q+OgubXtaDLHuaYGS3ZimdLUKO8R1oBy9ReqUUaONMcRJIHYqnt37vjQXXF7YcM5uk/dXZp3W
R9KgyV3wHeANZyU8AjHIvcK18MRjf+/ayXmch2cACPsOLw+SnVMg4uZ5HXYW1Ak/Tnx7eZLRuK1Z
eg3JqPMoW4bimX3R6QtOuCCi+3QHLtjmh2v287uq8/nORQ/Dcgp+dw1C7h1cMdnHCvVB7s0ZvILb
cF5fXWHe5nXX3mKkYUbQ9YdLiCcV4KA1fZoc3qg640jnjvOzW6rxo167a8iy5twVWblpLFRMjhhE
Pgb75gdoNoT/MANsDot/TaG3nscqYAJXjAPJIvzbQBbOJqFV3jUFZD+PqOEcS8ium8r1pqfeozZf
sGRhSS2M/hX3n3PqLTFudTmkYb/I7sPXKtkVgTefnSCeHuMEfcL0e3M32T63G6jaThqW++LrhrVN
uk6SkTVc42puqUbuAOi8Zluy6x1pa7DKbWM0zkiG0KD7CFS35wq3iFZw6drohg1Zv7EQxCo3qTGM
v8lF7L0nL5l9bMRCazqTXqRRz23y1QoDb2oO3HZg6MdysaRlPDFIUcShZ2R1csdCKfOZuBVYLiNn
TJRJ8SZSw70VWWF9dZmBdQJc7QK48XM4DnQ3O9craCQQ8dRz3syTgz5VC/VY1yRIHwCp/G2duGQq
+EWz/hxTBFGPCdBxHjpxsaZJfWfloOKHy4DkPXEMC6Zz9fLQHmd3BL3qucN63RuPVreYYT+xoYz7
pX5MC69/x2PIAdBZ5UE46q2FTT1L8g/1thiSfGNOzFno64DIXCauT4239IdOr1JcJ/NidZGEmW+3
yNLkG/VmKY2dBLLqQ39iq9Nz1iiB545bU4ZdXFxKxuRqmmpE5zbjG3HZPBHGuAQ7OMzA/F2b83Dj
s737xZxLz8PaRcQxf8zLfiqt2hMTHF3t/KyRipHWDKbmZbJ8mhAMH3Vvje5VOTNHPVfpnM+bNV3K
rZqMKVqYSux76b0GZVMG24b2jT3GJgDgsipziqTlrNc0ne1boLmxdtOknBAxecLWI40nArzJJnTX
LqKEBKEaqvGNt5xqbzjyXfvcDGV2a8XS/iyywX9hMmPiB+wqKuna2eu8qG+coG4+bUBC3kxBIq/m
ZrB2VpAWXxn6ZHwAmwGoNtM2b/H/SejoPChbxNj24l2WtWj7yK2ni7Sp6uk6ywHaaQuHhHlE0SCg
+3Pdk3TAzqgprOtkwjjUVZ55LlISqkNlz7zd4f3Rd2OzxFrW0YlluxLTU7EfvdHctLmDwYVcneGn
jJtLqdxVGHxUVxSYWGmRo5iJ5a2mfeF3WV+BSwS5xQ25p3P31Dil/Y6qb+MyxgQe5dOSU+FwRS2e
A8Ftp+V8moLa/cAqU7+4+H9/rq7Wc5i0KUyPX8gl6mwbopit8wuYYE8JC83dHqnEoTnXOi+ieCHU
cVPqxmwiYrBrzHHIAW9sjMWr7w7uTRFr36bpKn1j13uDt3GU73y6zD+MDcaB/OzaRa455YWPw8wA
+rZcyKCsceUdjI48FGVfhTzBsnjQRtEcplg22Ktbeo9IBPDK/EhcfWWhq2MVaHDpbEqZ2/V2LCu2
Y8eiNMaEgKi4rI9ZAIG9JcUh2+ejh14fF/H8Oro0WHwlfvc8LN7QRu4wB3zVnrsmkQAaq0NwEwZo
Y06VPBSp9eQDeY9bu/dd6gQU/jMWW9jWxBmzd4EGydxCzYa1W/CrGRG0SN+eAm9YXzI90HTxeLo+
Wbuz52BKg838SSJft8cE754YiHhqp32p90xriy/dlOIagSPAk8fGwCEsO691b9WQ9M/ES2cvzUQK
dwiT6PJlrn7lsiHC6xYeMdYtRDiz9alfYsT6nu1uoOJjEjyVqqWbn9l6CtJoZR9s+gR2G4RoAJe1
rwpcOxYpOnCppXX054blKAl7huV5KsdhhXrHpN86Q/uD/ZopzRjxiWWYC0Z6bJbFzpWkLrNHegEj
x63ZVhm2JUsmcCvKO8+iZVaqgsy/wYQB9uFxfnJgZ0lTgEkY4NpsrUzMjaP71cORbzGwcVPQt82o
xvomIz+InPUln1/dOCPa1muGV95JrWA3tzmwcSLphqvaFKNDveyRH2nILvmKLZWlcN/4EcI41my8
5FriXJlBWMsfmRztE5vqVjihoYeom7gmbZxRwbS33ZxsIdFBfbIYfblatIGfky7SSKK6nYkGACQq
sq1I1XovmpigCp/KqKVlAnxsyD0hT1DZ8TX7d+MpaqHGto2ZgYBOOawGuQ8BJlJOVTmGfjnvDNDg
4WqZHI0vF4vjGsFJM0dTrckwqfNczoE1DXxsLT3VfcHNRgvmLhpveoZF2ceG5e4reGjK0ylhWLRU
vOAEM1N83Q3aiXdFaf0ec8N/aH3PYvIIFBXaRtUDUKQZOKaTFnURGgXE2rbj2EzAQRrjPqHV8J8F
8QzbxB0VDUwGeuRP1mjsaOtt9du29fJWUJCxx1MJ9cAUF6qKwrXZsFJaPeSFvxw8HwFhl+Z4Hmo1
1Od1GZPnrEyppFkgnN0VTfETLCjeVqAL+THjEtnGg+jDpOnHeDPMMX5i4JyvStXLU1YQyLGB2zUp
TTl2l3PBVdiG+I2JOhHB7B+a6TLLzsfgk2Ku/TAzv/yxmnOLraOe8B5Tv58M3Mp+1FeXr6iPMcJI
1xUcqoX9yzKaacfUAmKZgcKZkQ60p3SGuw7abtgYZYW7dPWm9SB5cB/6Zqof4hUegl1hltqwrwg7
BKYcBJ7V759yX1jzOW2Gegcb5Se7dfLGNCqNjkmUVXfuuovtQaqDz+Ob8TYaJXNLlU4ZwmqRL7t1
tUZWGLB92j0AEUrkGTxgdqhyYR37JX1MWQwUMUlc3s1YbaVhV5vazDSmN8jqTwSZhk6gET+pyWaH
uy1L3cec1iQciZGsL9au5AmqzX+iFk3WiBWCnhGZSFEGZVvTvLisu/wdCCpnlBfmAJEPufxLdJmf
R77Mio12Z4b9zcCSplXMJFqXHPRUlK1b7r9Fx//Xyuu1+myrrvrd/1l6/Se19v8jfdZGrgd6+K/0
2fS9fe/Svn3/j+LsPz7vH+Ks+UdgisA0MYeTDvofxVnxh+tYlmlaJMwEYOT8W/+mzoo/TMFv+L4U
rK9BQf13ddZy/nAtx0GdlUK4Ejr1/0idNR3xZ3WWOHXbsyQouMuexz8n0wuamhl/5bxd+lqMB/fi
k5zHjiCTNbV/J5eKNepLL5CbObgMk/1kbEhs4Po6B4ZnqK3vZTzfmrP7Z7nYQXAzDublT+hOfMoG
cXijVsmAy4arBk5kNUDhUQGxgDYr6nuHBIYXw3ZUwpgDH/w9OzWKjvuPTQIRa70mmlHtxnCuxdS2
YOp1ADTNNCbHykJuArZhgZcmECXHMsVz7kWVo5M73SfWb/YJ29geEbujJh+CY4N88iDy1BA3Q76O
qBF4iDB0KqvJby/84xVh3+T/OIXZ8QW00wlxh0CS1qnG+CZmozamCB8nyIOfi5+c1Iu1Z17EBdN4
4oLkxUyNZtzC2Jvn1s6u7FHSMmi/S0sKHZqnDdNLm11cSZZiSceTvGvR680N9Agl0jRmKrvF+2mi
MKC6uE0nrwxTLhxgsLHFwYAEyU94hOgb3YvTO7xI7nW4YPTpiHjy7XvRW/kCDm2j/DkOCmLmU7bU
ibhlKFVdWa2fYldN6tfOMj4d2FEUhTmvBpjRSxIz5uGeHtL1w8Au1At/G4zOmLR3MaPi6ugUNdzk
SngIGZVmYj/kpNQn1xdxNo5YZGEHISNiyRRyWY15N1UulQlmEroNG8uQcUo8q3Yjc1pt4wBKmr20
/joN+wGMabyO23kJIkepTmx8iKw7Pc/WFOHu6PSVbzJeCvH09jqsxto6OD3hDVG3AAQcTVTl+pzP
JesIfVcO49bRkz6I2e/7DSYnUW2TVfD/0UaWBZt6quLdkucjEO9SdcsWm7CwmIDUrght2OSnjpXd
BXqstD9qAN0fJXaQyE3a9qvqYms+8dThijXLeMFR2Pbc645Vkc3RmsMxKS7CcLN6axuZhj+WNLiM
tLPMlB91YA3zIbXIodimDMjGDS5bfmILq7xO2EtqZDdy26/ASdL7Vnl3CDfuj65D74/6uDGOCUsS
cKdPHiMmbMeMBDLrwRjS7m0NFvccOPlhrARXLBqwLx7jFv8mEcv09E+w98jOlplznwxmvTwqLdev
Mi3X6/Hi64/IX0mt23ZIPJzkVQ4JK/Raj4fVTMrrgOq+P8zMmZqNmY3lK6OQ5jbIPLPZYFkBO48J
568iw5H2U7NgcAhNUbpUL4ZPrHGea+eK1jx14PkwM+PJMBLrPIDTzmGXlPZ1WzM03jC5W9BCs1K9
ka4h5i1kM0+7lQBcWDVtzKYCvsASYsbPxkog0OoR81XOlf6CgMeigClrl8T2/IKUXEYNV6a3t3C/
vCJt876pAxJTksppI9suq7M2i/GpS9yMMm9hfqIKfDDKtuVdi0O4De1AZodhrMot24qxnmc4nsoD
7Zj9wyrz7oy5LnlzcpEG27VnD8R9Pivymz2ZjvEeZ9W0Y8qXfmDrY5bPBE+MIQFJA49H0TwpeP3j
vHq2woaksWim6NEh4cZu8VU7aXuS0O6SPtRfnwcr0Z/NWI0BMRZyTvZAhX69KXMPXb+Y6JbGZLoh
Ysxgo6yQWTgmVTE91ux5+U7Lmu0NIUeIJy0zAaxZIq5PIzlFw35epEVrRzRmtskltXi0UuaakQOR
/8LaW+9Wj8hAgaeMNzKSPP3Dp5M0NxPLg8ltyANzg9mGJXQe16D/WRqLxEOxyj1WDR7P9AXY2fzo
h4KgC1FlW1vl7S4YUgrWzneRNcpSbiqaBxNvpmoOro1hDgxNBhz7l0idBoIbuWMepB1Zdr1uR7uJ
H8rFMJ+ShaYoZBLoMU4j9mPaFnaW3ZtD7OFmMMVIegYODuNsk6Ly7o540A4JC7/za1vGa+QnHDn4
imS5ZQKF535l5H0XqzzBjcMxtxmT2eo5LxQrAS0HgQI7hGaMjDV4+hEsK62DQ14GnAffebVda9u9
L2bMEHQUumwiwsjreuMuIy9EOCnmyEYYXACrh3kqrXECwTBQQRyVL2wUxVK5W81pFuB6UfM575V5
4GFejeOgreQ4z1WtIlxwQXcQhmrjXd84wQHrjvpy56B50fSC98bYK5JdGrV+UnNiFUVCIgpuZlZT
bfgn+jIahwxvm7bz/NA5lPchq10uOe/MWO3Qh1i/i7UYaG7yMrvr8nWhQGilfKe+5aLzta6flsrv
riuzngB88hlmws45WoMBpCxk7FXezG6lHiSN/PO0VMEpX5JA7kzDWB+y0iT0MvGxglznwbo8Mcn0
2Q+V5VxH+Nab+jC7g//Lm+zlwCjWuiHug+awMqaqCEmZm5pQg7NXG3/0/NCCL4lv7SVDAbGHrA7u
Ft8dx9DA4ndtyDZ4dS/QTCZYofLN0XgQNcMFrbG+KZv4AtxIDrlN/A3hKMb3jHw/sgugoy6ojvim
doCPIHgSsfov/QXr6Wq41fSC+uTf1E/VjPnRnMm154zBK3FhhBY7G/A8DHh/FnY0RuNMz2Y02jtZ
jWeK/XghjsoLe1QUWYsamAAkNRc2afjGlBAscXs1Dmt2vRiTVLPGbWhe2Cb7G3PCAJdcuRf2ya3S
9TCXJt6kGvE/TOtJWlFxIaaypGIgACHY7/s0mc7GN1xlulO/1d/IlZUp72a8cFjjhcjCiZy+pt3y
ZHzjWuIb3fIuFJe68FxE3IF2ud6la205i1oqr1WMR1v37gfaMWiCpQtB3geomHVhxsSFHrPBcXHi
KOupcBlBO1baVTcya8bfgJLAZwnOzfLW7VOgtPQbUHPEmsOY41nZgtaBsFV2Pn8kAq5tIoB0fMZE
rNXerazqq3Gk2d5P30CcyEAeT/Y3KKcCC9orIcllYUAMSyeZGjeUNxfELv7G7QzKOWxf3xie1nJ8
bL7hPJUb5eP0jexV3/geKRUP2DPy6uQwj0aaDablfvEkC0vkml5bQPIH8AJwwHRu+z1jPpTEb1zQ
I/urii6TC6Qs3yXba23TY+kn/klnhjrEwSRvTZtVqsxnpmrbz/MQYf0utgCBCXc5NchXe6EYHe2l
28GbxMYDf6SKhng0DA38iIndB5rEWabfl29AkoM2eFpUZn8NROHUYWK3+pZsguZ5mEleyr5RS5kv
xVUnKq+ICHCzXoSJ6delVrvpeifZB8WYMGb97iud7x7TvLSb81LXTSSJPv3kgiw2XFl0poZvyJc+
7t4F86Y0IquF/jWBx8b1SVNrffe3DIHpdUmGoOAw1KKfm2RInnBO0hf7LrEmJvXi4/SvjXN9aaJR
ksgN++6se7tk7/Gl3bbou2dq8ndrXt1ooCfPLs25ISQnf//dsyMk07+b3718/t3XlwXJSDfqu98P
vnt/43sOIL5nAkwESo8z7zIrML/nBuoyQuhYkTKfh8tggWQWZgzqMm5Q35MHgscYQkBePrRLlzzw
7K+HdVwJ2MuhQYeNXofhTmFfjbDe1WeWRcmduAw7FFMP+3v+UYM4UTf6mXPssm5JX3AoEdoQiDqG
GalJGwlXaZLzQo7rnT3NTEOwB4P2Keb66Xwyy6DaYgPCTNuRazJMCtNqtxKsht7RBqFMHeemmYP+
YWKF3T5BRPtZM5Q4Motuc4yROsdObwSGu0EyU2pruimIqD0axmvaE4p3YmJPztAgS+/HJEfX3EBY
WMSBtWP1aRa+x5yXi/YG/ynNWeVdkly7IJgf1TLHxa5iEMmP0FlfsUxPb4JX4W4yGDmL4K2SNAJb
okDbsp3fGpH06PtWbt+qVJpPFLicsBnRp6hvbXqKZTX/KuNm2bmLVxxbK17VYQwq+5qmwY9PKLfi
I6tquSks2pkNRQbzTWJfGDqvOSQWE9m4DgVWJ8FPMd6WRaPqiGzVtQ+9XObZljczWRQTwbgfvH3d
q45MDLwVlsntPto6OcSopvVmTIvdZDak4OBVL2+FSTG0jRtTWacuSAkDpiM28SAqI6Oror1xI5rc
lW3JuXhzei6waO0H+lfGsHZCJEwBYBATO7L8aOPOsg9GL5EkFMFfX2PTOscxHazXctb+pkud9pDX
HPOrkC3ZuYvLWUMG3LbVGPxLYhpAWlADdQT6BxAFEdq92UYT3yYemJhrtSmAoQ/bRfhOmu/irHDv
17avulNTidjcdEHsxuj12t0yLWUwPkxJRkEJficiGKT51q+xCkR4J4MvFUj/kfHvD6It2iJk0BmE
bAMpeXRXbyc9BaeWm/5pQfyFe2n0kcSe+u5/sHcmy40jbXe+Fd8AOoAEMgFsOVOUKIpSaagNQipV
YZ6RmK7eD9ht+/MX/sP+F944vKnojm5FSSKQ+Q7nPAcDs7mp2GyCcpxklm1J/myvDYxhBl7aXdQK
cfsr6Zhz73zhd83B7WBD0LJ331U3948jqzuLn81k8SfLkL2MQMX56XSDucn4HP5AyUBxjeKDyj5W
946O1BMbSzgFUTA8IEE6ha4vO5z0+BFQ//TEY6tfLbuDS6pCdxWLYjgNEV2SqM19m2RUvL2y31CF
f/O4jfyOGW5rFX9nsLCObWDnmyz2+H0nVMijpc5OblR3uWz5hvqyuuD/5QLtmvAnNQXJxBx+6tlJ
P00hJWkswbJwKuwNuSzF1nJKeUwLs3omDdjcw/LFXuJHm7Js7b0VF+43u2TrEJiNA240PcyFB39R
6TTZkIxQ7JK8sZ8by5qQOHnm4iYvTuB1hk/dVMHGCdI8B4E1meMBghzkMw7J4desFcu0IrXqdRtI
765La4qumqljtu4Ho/6UqfKm7axw9k7abg7lSE2fKtvdJ9ByDkiqaff7Kr1AKZrOSqIqXckhA6eI
M8RnjN3Nv6ekRQ6RUkEi98i9l0kqdT+JCvt1Wzj0xJmHkCk1N4JK/ndmjM2+6Vhec5m819iWmQOX
Uj+0ikO0w4uYrCsoo8E+L/3wQHjvvs68dF/AD1xZdsXwI1VV94Nyt2ZAMbXVerz1HGMVbupWpn88
O/KPskEeOEzJ/GGhA78WJbxoqBmkgddo3hmam+DnYslxyeRmL0sM6iKs9nAG1KMG28sPNAKrFBLr
716A+tzZugzWodtJxL30p9p16vehMRGzT6iMTenKK/yc7lCj8XyCpsPgyIxyD51C+l5ntvnO1rLa
sA1szoMNIpCpv9ihs2N81hL2hBlnTUUjL1G9KI/cOL5jH7Oq7Ukf7NE9EyU6rJEvO6dJCmsnhT9v
BNqlbYHYiR65j9GQhca25zLeKd+MAVuG+T0HVbLllfHeWN9AqA8bTH6FjewC2cnLRIJlv4/NfnzB
MtruhrZkd1j7Wj6iuPYUQiwFGDgzhi0n7rQq7SLbTV1Y382ACsRptJKq2zJNO05B1H4YyLZepKo7
lPX13P6YydAF15PabzVpdns0MCaf6mweKsXn3xRht3XRaIR3aAZwiA7RsOmllNXemVP3ayyyT2Xw
g4ylxbygm/PfiKWCPedDea2hme+dODDOmY28wAnQbSdcrIglCqQbUVXuJfbyNZp4BHaZe64k2ItV
RzvQrXz2KBzOg4xPZOwURxfEwG+zsy8AfIZ1i/aPgiyYLsqZFFLhblpbyDsBT/bMj4xyH41Jd1Tj
zGxqKmf1qkQuPyS0SLONuElCHZ/cuqv2E/3GFlJmEZ+DUU5fc5zZP9J0NP8MjTboB3x5QSa6T5Sc
u3NlTOnwEPVVRE1tRAfU379qaYl2yzJuPFB6T38iL8kvaSvFoe77etuwCJ+eTNKNHD0Vu97DMb2a
iOalkkLHIyiHXbZ2aRLPw9qjaXnC4Y4eWhYWl97/HUPX/3NrBQYoS/rWf7xW+NHhAP8v/wvX1z9f
+c9iwfmLAlKYQFaV8hlOkkT0j+vL/cv0bTwMtDD2zff13xcLtvmXY0klPCy0QiDn4ov+m+3L/otF
gMlX+r6zbCPEf2ax8O+eL4vVFMsEjF+mcIVlL1uHf3FgIr4BGaZlv0ez4AOjaqbHoiTiZU1eQPOF
DDQ9DSai0P+N4dNSzuIc/R8mRteBl8K+xALQTjurwC//z3+zboEa8yb3e8g4wS5ubFl95oLeaAWQ
ygEdWVlpxKJ30O8ZmJ15y0CzYqfmogxb8z7D+zaziiyXFqzcR1AHMVhUC9WGY01ht/Yau+a9pTRf
p3nQ6sOAgBsBuLY4KKyhQ6dTld70ZTOhsDv0v3thI8PJnXz8nErhv+Yma9gtg6n+CZEO1W/aqRjd
cwY4DGcw12BvCf1eOIgUpCV70gDykxNj6oIKMA20Ou1cfCW1AabH7jczre+mDUr69sa6b5shwXqW
um8+l/Qekldy3+QVMoVIOmCJjFAFP4weZOV2Dg2OYU+Ma3rH3y5BAHvUTLugT8SxE2OyGYbo4kXa
3fVjPuMvL2nvrOI1BnDL/UzPbw3iufcMCiVfXKecclMmGXwH7FFMBW3nsaiGjQegai1sRivhoPnC
ppZLvnsG+tksACo1CYgw8VkZWbEKfedkypYCF2BiaDfgFCiyl/6nps7nbgMRBCx73Uo86G1UwkkN
2oHFja7vTY1hkNFIg+Sk1TusF/mmBKGDbQdkiw5bDGND7G5Tz7Y37QgoieZWH5nrWDv4tfLomIx5
yH7F69xofReYLSOhgdnLjKhwrSVWmTRI9C6owvwuylO19yWpv808kS6BlGHbI+fHDWaFGY2V4XxX
Vh8eoGMYG9dQxhkoHB6nso6v05y16QZCrbNBRhEDah8DtM7LdgBQqQcdeON4Lmx60DyIYAbbaT9R
XTFZr2abzz2mp/kIteM9oNW1vpjN5t9IQhJ37cEOsVdkaeprWKb3JpdPhp3AjM+J8Gv21vWJbsO4
y+2qusOEWL7lHltjru2GvbNJpTxzOw/xvKaHMdTKNEsFoBmVwyXHC4JwI5AWxKwyLTYiF/KMI382
16NlZ/dZm1v7ETxdvuc28p7zxVhDq+qYm1oVs9gi06O3m5kTPJjQKga0RFP/JLguISZFU3gXhhWG
KSbr7gcwVKjqgUjnMy0Wk9IaPdMVYqYJnTBmE6JqihWibgS0qIGOLjK98OAQMvxSslALljlCPPHL
XKQoNntFqEqMuh/tvOxfcWCxEfF8F2iqGgUcYMNphq0nBwoVdDrW77KGqwAHxnpNbUQE+y63nD+F
GgKCmGyBUAnEOi5tIBjSuDLNGaig6vkEXCXBQCZFY68RbKHjtdHsvmgRY9SKa+PUVKa1A9dfofoN
Y/eqZ7ZUfH95u8tm4zGAdqjC9KvNo3urT/aVaTg7PS2Ill5khz7y7UflAMasHX2/JK3DqVLpvd9R
WMwWaSzCrFpcYJBBk6o+F+j3LpjWvqPUUquGRJN10GXhwUzc6qFA9rEDtenvXOI2diHOy0sEvW7P
+s5j1kGoCe6o8gtUM8z43FBnc0rCeJNPwXAftOn4J4cihCCCdJWTz1oj4gH2RLCei6kvV80krS83
GeI7ZLHZyXfdx9Gle10BaeswxbAdVr/hgxNbs3JL4OBeYeS8l8Z7l4dbnMZsTZUlf8DVwqdT9PrJ
ty2zBuYWeJtOxv0d/OLfTEQ4P9rScXbR0tb4YnKhJ2EbJeASZA3yoe2Qh/EReFd+MUz4MNg1tL02
yRy6upmT2i+9Qee7Mqe0OwLa7391Rq7P7bAEikQlvIMx7iYSK5gITV3JWCehuubJCnDKoXv78nqg
g0YhMSR4i9tHuibBawO/jVGIHx4sq5Pkc1zlI/r5aeQBZoN77gMH/VsYHHQmcvyP6IGzyH2ohIru
QC784XaKz0WJxznDSpvQ1+FNOCZ2CgM/wIO6bebZRIHWhlaxMaa6+Y6NiU6f0bl576qiDVYCAxS2
scZIRgTYffgwRv01nsKU0XUDGs61qWFZQ+5BKo5M13hh9rLuvf5QVQoDTd/33plI3vzV5XNibG01
B8jbmKR75VzasQ6+ANtazjOSQI7Zbi4gqZYdOPtF3NLQhlId0ONaIXaoqpkf4NnY60SbX+ASyx10
0nmfCQu3QuwTk1u8Gyh04RyOrRjJak5t99ZtW/s41y2a6sojsAnWYPcypII1zAKtPrutO7CYUI1Y
Zf1QM/YvngIbKV6kyZVsq9y4QDQNzqMxQDFvA1bJzs7EL7ph9WFtBMnhpBQec8vF/+U5DbJIbibZ
AMFM45AfIXqA5/Jdu+OvifP9OLQupYIpAG3MzD+MsRYHg3HWKg6RWwqR3VdeNm5ZIsm915PzE4QC
+VwU8iFHo3NKZPga2j5OhW7gAQgGjufQBgOFa6VHnjRH13yspm2ZxDtjCLZxrqxdN2lxH41ABlCP
W4tRK/4eQxT/0Ju7B0DQNvYTFnjlOKYIf2sBHTho9pXLRpZPaNhSC9prUD2o+8b5R5D1/CLzkthg
xS82w1P+UHo9dom2+jHIyHjBUtUcOl/qpdRgT6uYZZeEk+w5gUBiyoqknrQhwUWLFAmhow4qscHa
J/6lNSZeX7iRj4gdaNFYhK9F04/O3khVvEWPFjLLSBmd2w3jkjZ25Ilyof1Y1l+sLHwpmV3G7UXF
Fdhoq2u9bVkEw4fvYuN3YbOeTD9L/6DJUkeDK+doQUd+o3FSG/wWAJ8HaZasdkdNX+eawR9iIPSB
9Y+3Jl5EVBuu2WBv9J6MiZKyogu+Ym7ONOzNOxU6434Uif1Jwkx93zPofsx9ZnWrZf6Jd10jHyVE
h71/3yf5HZzd+Dn0LXkyvd56wVMT/M7aYO7BCnj5HshnnHIwWcExQUZyhzVgSTYfE38b2kYMuWls
sTOESPP2Jd6ifW4K69VG8L9ypEPwCpFTMPwFuQyaSVBPMoXvlnwIBT2d5xkvwlXJIWZNc0rGZF6i
u/p3SFY54TgIKFcz5QOhBkW7QzHrI1I1zdTfysieX9Jkmn7rBCTepvLS9IpFrL/6OMRo/mJWUZS2
ej1Q2u8SNhav3lSa5yAqirsosMz9JFC1cfkt2RM8B4hrnZqlUG5mJzka40s/5M6hZz3zhAy+o5pU
wQVttveQWZ516grPfTeyIUUFU5fvthMQxoIPDj3rmSG4uhceq34sDBKMoZeyxFnFkdmuOfEsFr1z
fI+OHQON2zT70mCmsRqCeGRFRmex0u2iUWQqw8OU0sKf4ddG7DCKeiXw06xFPnVXhXDh6FZ8BwUZ
OT9sVoWQAZrOfgmCgVnYbLA/unBFcL8hhegnDjBL4bH1SAfJAEr7GIR3yi6IOlBOjZYISY+b+Z9J
XFnIWLHCxV4x7QEzqV3NMP+booXOnjlUvA7njEGdBl+0z+XQHKu6bz94aeer4bdUm3IkaaHhL/EM
UxBt5qWEtZCkpViDXsqxEeeBjJrxs7TFWD9NY1xnzwYYddKFqjkJ6ERo8MAsQHhYdUUzBmtH9MBc
IbQZ3koBKd2TMpJcc2cIX8bKiv/MRipQKqiw3LJoCfe6MdsnhBbWhy5950WPAy7DqRH++7KRnFGd
xsVzmBvR9zio5I6kNvuzdoBUrVD7xnwclRqv0O2c3w0ZkHfhQDLZCo9YfZ0ai7NiRuJFwdZanGoS
htG+htBZrJrW1m+Kj/szZXf/QyrImS9e7qjujC/WsbdzMggGo63H+5PjwUDJk7BCkCGOMsIjcLbE
2priY2XxEG50aJAioiU4sy5Hg424m7eXHbFnYXEG3InrGsg3FKvqHDZuFG0GA5NHbVQucEASUhhf
9dWCs9P2B1lJ0b4ARfta+UJ/ClqidQ239tpI/GpGvwnhg2wq4ixO3RQy9uc5XOHYNT8Tl5VHWPjJ
cVHWvbLKMN6tqpQeUqvJ+VCsSO76bph2ve+Vj2K21VMIzSVEYTcGByfJtij90yMVdXQ/Cge2Ier3
g+ZX+MmOvcdyZ6iLE1XNLjeQuXSl+xjjoL/rlLA2hKkl14Jt2QMp16TjSb9j6cJcj2GjV6Mbc7Mp
OJUNsj5HusFDiMFMh9E3KOTxSVdmgK4Y4QynNX6XVat6/49e3P4Rvtcd4Mlw0w+CXYLn67ch4c3J
jKJ7S7KQRfqo7IdCsypl0ZVj+UVL6ETmWlSdf60pZy8I7RAZkSP3G0QDJpFwEAeCqxQJ2X53N4eI
4ADkDvi30bK0RhqdmUknF0jDNlIE9nBwn6vufgQ4vmkMaHbMLyMM5K3a2BVu7RVu9eqi6Um/6kk4
T1FedKQfIXVovbJ57OUAbdqtIVSMcbkZPTZD5AmTST2WqJSbgXFrqrv5M2JqvLJGbWKDYuQ9dQmq
3qgUD33PFIO1jf8eu3XwM4g582VInca12l+nsJx+xtRiZ6SI83aGB/Wg4XE+I7Nk1TMw8t3NOGHu
bMepHgJQjT/6lvPerUr9M45RhQd4VT8nDOrwdX1aaqvo3QfPpVlb9RNvV8ytAkY99lYz0qytNyzz
y4keCxXkDkhx8sAqO3jNCDe/k1WQvLIqpkGNVE4n2Bcbr5rYFkW2dXERoNwFbj9sjF5nL+x2Ba68
vPjDtjGqV7FZiBcyebqzmXPnraAQ2t/EC9Bh6SZvTmbYsiNCMxQeDB40a4sV3WB42qX6jbSfDqaA
4VRv3VjV7AD80XpO8eC/uI1oPxODdRKrN10XCEzrgtSJLPgcOhMfnR9yvpww5ajLzOn3OjdI4e4T
xIfYtFXuNLsk9YLPsBvor6SO7a9eFeq1JBQSY7Bbfo6DBeucoeZbqRjSSJwu9yGVWgyqckr4hvD7
kS6Y7WLMKle4idbWUo088JtsHxsLcQprQMiQue5PVl9DERNesIVbkx1Yf6ASR8Bw36LvX0E5rd4b
10R5lubGVWapXCNygWrmrjuO+HJdlAjUSoyb4xmmfiQP2KsIn8R4Mi3rNeu1oNtAnYZ87A85EXA+
G3PaTsk0qlUwD7gQymKa3lJ6yA05dWRxuTFycn74kJrAAZdD4986+Y4qoLmfzD76ED5SCzcpeIBi
a+Z7MNryuqh2RgZBYfHq5PWfNgVgvMXlVhBMFUx/SmrQI1gAjqHAmPH21uUG67mxV2P8lYYMtghe
WrGf+0TXPm06rmYQG529HqIEr2/vv3LIlHdT0z6bAekEDLeNU5h06ElD9G3azyTAoRLkMPl5kfau
Xdw6j4EdgMwNHQE3HsgIgW1BepTk/52QeagjsD8eB6xV8m4GdVxuMmyXXFP5Li27euPDluGqannT
MGfC//Ae4nCKsD/5uJ0WE2fE4/MFgwE1Qspqkq/H7qkiUz70dFA7ldndFZ3bBYqOteduHq5pYOAf
6yyco9qQEIcNGJcYkZpHib90mQl9gCnAcwqgyLI3qVEkj1R2OaofzquHiG0I065WRiHrAycEgULj
iXlidpi/zd0Go2v2amZuplb+0KgnSoMMl2KUBhgn48W06JIlC8eXlYQdb+wWZ70XTLyXWeCvOsIN
kX7N3eLs0mVzchpmiWtHi+CtXry7kCHBZSzOXmCdaE4UmudVCz79yY51TVpGnK3Lug4uLLbtB/Nm
Fg780j1p33fx1mMlFvHUntg9VqcY/MGV7OZqVwyIfjcCXMM7Jt7ukeFai1fbbilp4LGm27o3IMXN
TgUjxZl++ejjNt3icobGZH4bc5ge+2AOnhUnEwIiLUiCq3AEqdlLd2Giw10jzfnRb5m+RcJdCBBJ
7j2MKe5rBMWEC2FS4j8ZdnFQ5TB/shWEaSGr5IeShK9yeLdQKW0CpiqGV9aKl7p9pCcQrwo8Abx6
s6fmwjVu4x7Xi408xKJPu4dvrxHGD6/rsWYutnNryhdyfhWNSMiz8ckNRLauJ884dotp3Vjs63jE
65/mYmk3FnN7myekPyDNo13fp4BZHnuz7HZN6jFVnEcuUv5VHjvHy++x7A478vkqd1PczPTT4qt3
7Ih3vEQtuGbTGux1WjcWF4/ozxZQ+lfCe6xXD3M9m8EJySqTKzx0vSJIxAUmTZ88xNVLCvHe3MWy
HSe8WwsAwACOXZ4wfAtGshVB8QDdUx5IsjWMN9Qc7Z3HtpPZM0U0IAfI5lcIr1AHSlfFz5E7LzR9
32DYO0slhw0+V/0ncUlMmDUsAwI+1dW7AQ7cIjPqbYLdKdvJGxshqSMfKzpGNr3WvmdfW8+hRB78
GOVmSuLfm3bs5Ku/gRd8bzCd49g26KVnRv0vsTOTE2MHw94guOoRDSgsknDBNoAshOBAGop3qQYG
cfjLcsgd3QcyULTIHh5Ry/L9n0YJLqqaRigNtmvftUAaX5MWLyVa/hGpjIrEdiosQGhTd+S3MG/J
Qx3PKm5d3JbwTJ67rse2FUzEx7tK3nlE5V7sCTssMhavug/1DMSyW7AVTA2UJIBT+Ox4G1YHxkhg
8obcmubADBm1KDLv8T32FBcEI9TpocuJudPRE5IArTdILvyXtAuK+5B4TBhXTcoeHKBGILgJDkQ1
Vnhb8SJ9eSynYVaj8ED4X+aoHZk6yyevsu1xVQ1T5m9id2Kb19lMajd96RXpxiaKa8c1QkCC43dP
gDDmNwbnw5OhdIF2EzJIXDjtvmsr+4fN6vHRrjpnG3vGYKLjgSbSZhKHgs7gVyEpVD87Mj0+4lFl
p86w+ktDXG3NCNKKMAmTCAUOxMr4M/IseSbc2YO+5hr9+zR3oK4UxTXJu2OyN6N4fBxRKTQrF/Fr
wRpc+U/Eys7GOqzE4i2MXL2OHct6Rg6LoC/OoXGhWhRsXAGylIC/Jdcp+YHKj2ikRshN56a02msd
luZVDHbxSAgEhJcpiOuPefTis7rRX/raUw8mgmbGOEWbEKrQ1dYPFfkCuL8PxiWvY+g9LRJOVjRJ
7t6hXA9+xSmQs+oGmxkiCrZVb9ZDsOnnqEDva9PGzU2fvfG09WSMZDE3AVPP8RFZUPBrMLrlgOMl
khb/k+va4mhb3fxgCpSh0ULBCWt4OJztXECtb363DgIoUoG5+QB6A+9YSDrjwtQZw6S+dwY4O/NC
3Gm1sygiFwzP4Pm1u6oRE/5WJKltmkxv6CEy0hVVVxyA5EPk4dze9G6ZPTsjwcCGgPU9p5P+LjCd
V+sZJPOezJnikBBgQo0W5vWnVbG53obaLa+0SEy/q6L9kfa29+RRnf2aK9d9nkXDHw3nUBv29XuI
MoMWb+ESebHbGmhL4FpofofPxYIv4gbKvRWRLv4LUlobPgNw+3hbttFF5257LctUsj3gbEH+R1zB
ySfb+JLbbnaqgEq8WEGJWgEqxEWNBdMEc8r1z5mx2nIh9+IBqXG7C1y6klVYDNk1jYByrInLFShs
gnJ+wgPDJ0Jxc28uxCaWW8UxM63o2gpZLeYdCeKuptUA2rRtGiQGBKMGj3k/qTu+LHzk7Ta+xoUG
xb++R0Gfbq24HD9pmb2zXshR05h/16Dn8nTJCo1Kby0Sf3pQ3QRXDpHHvindcg3J7HnCAYOuJpPc
jIwuj11rymRlE7u6TYSpluAE6goQVsAngVmRdo7upjFauGG0r2xogEwdjTgPjh1l+083KtUlME0w
Pw5q3atDQU8nkElQHwR9Eyc6gtSKewlda1pAW2E6NvdsV38RowSFq+pa+RgRWfMwqNJ5Ghln/Czc
hdyVWgEUr1Czvok0T9NghgdO1WDBhUKWMpkppI0Wf6oigF/UmrUu1oSJG/GasXtjbVI4b/laUiKc
tOEWbzaQBYpO8NmriAlnaokBidwNOaat6pV9anfM+f1uo7orDyOqyY3pktfkoX0tIXGAKSIpc2Rp
1QE0U3bQPrA71NtsYZ71C/1sMNKMWbDlfZgAclAu6wzhTmr2/p0OJIWsm7C3smdNByPwh51a0TLK
WSBrHtscxr2V/Kykg0E1yjq8FhCxVg4zEoR4zDEeUJ5yyPlujTWia6NniZ5wZy9ctxgP3HcJa/Ar
pmx9qVFwNiuU88v5D8T0XuHXLpF6IlOsMWTluLZpehiRUprMOT3eqk84jHvtuexhwIlw0aRd9IAD
zfwCxouhaKgC3FHNxMU1LQy7YAEi8EOhQ+YOHjEc2P1xkh1GtGQh4jWtRM6NOawg1TDIprcaJTR7
G2B6QlTc+QX5aFv8W2iZyoCwh03nxvODjgNOb9Kk0zsXLBdhu4RaoEKZ3F+ELSKKUyYbPyRRJbeV
uBH/LH+S5yqPI6j6nZ12POYLHzAv1GI9JxSxvvcxNwTrdCELBm1Z+pgRgA5mfcMeRRTpaezdEbpb
YBhHhuw5pIMG3BnfBi8dSYax+MHOlhTHgYWou84XxGG9wA6RwTtPXF7ULjcWYgB5rz12JsiqjSvm
8Z15s9g2aWK8hEt3lXvdvNMgVGHqsB/cDhj+4IBl5gMGffGdOuVyiWX+DvkPmUiOpZGnSlQEpKD4
+WnOTesOUuh4nkw23lhrGJLjHoPe2oit5ymLN6sXWyMZnqCAXeyoHeiu23cNsYcwziI7ekZhbElu
bzckS/S/rUomxEM08Vksp3M4T97Gdc3i3ugrAY6If5oTiczR0q35bhp1fCb1On1Im0Fsy84kHrXG
0hmvbdm9R7qagUD2xT0+rkVMahlbRwT5MbNc81dW9e42rLzmPscK9hjMdUICRDzEG50N8682tKND
aPnuEWjIcKBeZ0xckjGz+/+W4/8TJDRaGQee+H+sDbp+JjCfo8/iXw3H/3zV37og1/uLub9LaWzb
kI9c9DF/y4KU/5fj2a5QEpsvEiQHKvo/fmNkQRbgZmjQSjimYOL0r7IgbAf4iaRtm55lSvmfkQV5
qIj+TZ6DUInFn+fSR9o0wf/G98cuNPJwd+3OZIKT7Y1gISaIjOkNkvFSHTHrszVsFwfy3r+xFmpm
/sUmXxAMbcPoZJWL0DuJPrV3gz3a9woiUrzOb/wGyuxqXqM1h+uQ6Fzoex/ag75xH9LaJbwLExPH
Wt8j/AlDCSlHL9gIrAiYi2NOo2Pkt1Wz1TrPq72akvRjjsdx2Fgcy6y9CFJqFsQnNjqzCML70evV
F0EIeouWeNiPTHEvc0rIUI0VYosCOkWlmZbbqtbptRcgcXphGtgzFiKGmQXqi4O8eBdcws0a0gFy
hVyiMN+FVC7fvekmb5mXd7CvUQzBChzgae1dxrPPDAT0HqkwTA5zwXNMEwtwYjHHD9vjOloNaIdh
7bUNB9rffI8b6yMVArsxFxcMEHXjgfSwSoJV31hwQkJyUx7zBjs0miftf1Q3pgh8W8qL+MYaISl1
8S46yFI5neUHEkKoB90QLVWHXyzsSTvrVv2NYmKwVrJPXg98ct8yALOO5SKWwgTKYFB3SbbCktvy
A6TZQu8am3xXJ0XyZXc65UhzqksWw1GJLGv8gciUgTUUFlYFw1gXdxVesRJQEAvgIBuq17wtAPvM
C58ll9oNV8VUYxYzZy1foxvMBQYhmt/ZjxfwmFNeLUXlvOU7GF/7ocsuRVVHT5y6SbMLYPwcorhr
92zpwvckHBeSDMAo10OYviBmvIU2o7HrNncKVD6JfzcgjTaiiZ2wA6dG3pA1/g1fY7m4PFayMQs+
M1geq9w0sTfUPXuMwCOyaWU5GKHWVdmiXukmF8OCfwPmqIWdw+E7fiSq8+6BJtFaxjfOTn9j7kT+
hOyCwflAgFyDo3c//A3mGZIlEfkG7DHJBAPg7Ov7NnfEk24H70eatBLzZsTfahQMDNZ+n88XykVA
QDC4SmZ1rX2IF06QhSKY6xdY0z7D/5LT1HnFB/7A9OQizDE2FjPaX8yKXPbqC4io0XZ3FweTAi87
Iolr0LlsIVmpDz9MKGdyK0ZjXmrG9hBEtQ+QqhJwwWrRHD1ip5Jd2UBqNktIMethNiAllUMXXjFx
Mr+v2TS/m9hc3hLcJ1+q95yTO/RUPuaCX0oWEJNTem+a2ThjLntwQDZZzqcrY2U+hpAxFcaPherk
L4CnupgJhUu1du6a3mkgv5CulOzsptLvsozarygJCRPLbuSo5kaRQpik7UM6CehSoTL5mwOzZ5wS
KICUp/pGoypjFzF9ROnXEwvvVyjY/6ZX3UhW9QK1muZxUSFUAtaV71nYfcBn85pHZjfBVMBNzRiL
B/azdIwYj+HCzRILQmtCb7hLFqxWwRs+r1z6sV94Kcoznjy5H01zfo18rAnIQIB0NQuui0w7yF14
paB4hRqglzFTTCS0+2vMLf69B6D9B08UOvwc4HRw44JxmUwfqZ6yM4R+uGGNWTt0lGko9pJ8ENbJ
bv8radibuyGDt2kBkBU3FplOqEZO+Y1RFmZqfuawkflL6jOx9xLDO2PiA22m3Jo8vbBK3+EQgj7z
Os/FgpXlxlu9sNEgyph/9BABTPMSkjXoZmsYLrzf9Gmi/O7s2rdX6Q27Bg459V4JaQPHpm9oNt0z
Ft07N2QbpAe2yGD62fI1C9XNXfhu3g31Zi3Ut3zhvzk3FFx7o8KBh6NtzQ/2QozrRKWZeUOR0wtP
jqbApOCXxrNzw80NaO0Z+N4wdNDlBRmWc/8p/dFWh3gh1vmpIZgRAOLBdssQ0F3Ydl3mEndpMUnZ
WpVdFocm6Jz42UQtKvl/g/i1hlVjrnTEksLnuj+mowClh7Ol4jgayBLVQeU+Qqa1fxqs7S5issqd
TW/xmgH0iy951OUcKCKUamUTT/czWVh+eARHe60Xwh8MMYzIcVN6W+z8/kiXSwbyS2hABgQmJXKK
V4IA5N/owJbchjWLHr12YPJ0gN0DyQi1dEl8vuEHZT8x7JRzcNE3PKEbY6ndeJ3LqeUsBMN2YRkO
dhrgyzPNnch9EnkX5mHqQz8UhhCHUPfRCyBmtiGW12+rhZcYpJ3+IBtoCFZhvrCLMe+zJ1jeQ2Pl
ZW5xL/vGfoQrddXMyza2qt/KECIy1FFs9csCooxlcIoxF7HVbJ3vcVlYhChacG2ge+j6ato4Uwwd
soPEXLu/YRp/daFjYLfJyk0XEATBKCbG6yHD0XnrbpuTsoJ4Bka29QlhLhEaHh0lUyLUHLxox+G2
l5FGiQjWNhRq3jCbEBCHbqbn3dh44LzGyPsub7sfYXXWawQ8cGZ43bHiGWA5jeeZx+ebcE+Qy0NP
qeNEINugSLF7crqELRQ91wGcprFFlwHdPwIBq8eOHoEXov2v1J3ZctxK1p1fxeF7dGBG4sI3VaiJ
VZwHkbxBUCKFGchMzHh6f6Vu9y/xHEvREQ6HfdPD6ZZQVQAyd+691rcixgc5ArjS3NDgDe4KDwCj
N8RYNrFbfKsIkv4usrh7KYVDVPYyt18NRSpwsfhuFo1kd5M76sX+VeA3/qoOxxrHz48RnPljHIfs
jG6UC4qZlOtxyBpUqOdhHlKtAfUmYEt7U/HAJFElofFtkvg8IRx0Mh1kZjhXCtASsorJoVXQWL3z
bAdpkR/CxWk/hIptJn1oRcA9yPJQVUAB6FGbA8ayyRTXywJEDxyJDi/HRYYnk0SOed1Zffq1kq1z
4WltoCMd6JdK+9xxhCgxv5oQMXMS9XDYMdwRWP/6JF6CHYpD0hE6s6cOTfxy2VWzFyNG41e+tLRA
h9kjSzv7zPyLooIhKu1GjCuw9O0TRRQS5SK07G/oWvVzj+TwosSLl0a1LWgOsClNCA3CM/ee0Z6x
DiwvtlatY+XXfYC/YuX4XgelmMjvyCo67Z+GBFuZpy2BAY/FDkijPu9+0NiAg04m17NL0B1eyWu6
nkIh8P7h5BvDpXlyMGUFCGCzhtNkEDzno+rzPT4OdTtggsM4n9h63iCToyjIGpTEDDxjVIJ5C/PX
wfL15iFqvbVl5d/FrQ4kcly/06tkWHASV73NczJ4JCsVTtmb26HNI01EZDQQdoBgisL0lmH4eOxj
fp51nFpLumIZ956KkaqYJSOFYMhkuVAbkTIQ+ZJ4efNh6wp7fNHNLBcJOBy9yXHUgnHtu/KNQgER
8DDNyUlI2ZqrRnXzQpcmTKpNUWUBiF+VQ91lgZ5BvOdp91TErjWcCTTddd8gdqj7ATYMXbqPqves
u7EY0jayZFjepstkPOL0C5+Qd2DiGsLwo3cG83E2xHgUnme8zGZMQz1W+XI7Nnn/wvpLueCqjjFW
JdocwKDLOHeEbnAwAVZ/abKZkWPPHoOyxTx36s4oVBYBMy92TZcBB4YvQpgDIkBZUimbhXsguoMq
ps0IE9wLqv8LPxiwpDZD6hzoVDBXQVsMpQlxOBRCN03VvIudNMkuaKoXR693Z3XoXQtAW5aXyogY
uobfh3qovrVaCHWmEdT2puUs9eTmc8qoKR0nbdGEh+LPiEun7gWNFE3zAsRrvvUwTw0oqBGkGm+N
boP9DFnyjJJYmAYc0hqIwrReBo47EcaSRjxj0LLEnUf3qd2FPGmgYIoJbSxNpv7NY+DfzhBXtmMH
J7ObSloOiOeN3YSW8ODwPvFgLgZDshQK7LQG+zE4VwvQQe9MQydsQ3gPYFvUclHEM8SVkJrgpuyt
pUaQtoSJfSJEhwCQtBr7coPLvt/YJg5pZ+3QjOekUtaenmE5pUqpy3RpKI9IMAA+Y1uycq+63Knj
Cw8BQHotxqD3r/0Madg+b7Muokte3xJNroyT8KhJcMWZEJVDNXvOtp2WNDt44BQAuCZSV3uPqfq8
hX4+t6/VgkE1xDjur+Tce/ErPtMaLuOUWMEpKTsnpiuLohpT79ACA7U1DI816alZnOLVtc1XtGoo
KnWHQBhIhDxD67w5PLF9q3FfCKtH4VRZ8GnRWe8b0y52XUJHkjLQn+7Tuquqw5yRwnLWS6PKqnGv
55eNG4zBeiGGCLR/YbdbEA6DEXXIL3Zz5YTxhaOBr2xlLti7wjoO4ota9TNK06yz0SGzMzD7NQy/
bF+mgnJbqmmuLsuzBwm+YurBffDHTsiL2iQWZR9jHp4B5VdB+sQm5bcHAOY1ZY45jqdhdISJsDxr
h+oxZfyQf7V4h5vbpO/mqPblGW2BLYejHYqkm1yF4UtOcQeHFYRZECEHDwAW6Gxe9lYiguGYGu5S
bkTsBe5qMYJuG9hagXoR2jhmVfES5kZcrZQlk5u0kOyJbixfDWcKMQ6by02Orz/HrdxDoi3ou5fh
iBVicVDoF5Mv0yiLAaraXcU2VadG/B2jn2Ef0BRzMqLFAPkFdff8bU604xza0UooWM0Bs7WCIE1M
NvQCn8Yax8u5OgxYPFyyN8s7TCusTaQjF8cEOatN1cLkisEmjlny1ZPhKwPK/pwoJBhdNb6GXTBz
FC73WasTfEIMSJ/o2KFilIIGIS7oxLqefae0L0OzHpKIP40y0K0HTCoqb0LAWlU64ZTRJkLYBJOx
YunHHKjs9hFTOiemgqzgN+wANerb0kCSGpDlKrHcAIlbsBmUiQe9Y6k859orE+dOETGyIzOuOuTA
UBfkI/wc/ujrI89l98AvH+LbSEz+fBPQ1x+X9iDNmrFJayZP85x1X2aVdPkO/qx9AU4tAIRDwOy6
F1bJnGII5LoAy2Kug8YyKzTjyO2jGrx9eRX2vWJdckRFr5YvBmiiCI/CXwiYYdzT0N4WMcJwyWGf
qJLYV2drAR1qEDfmEI3kObFiMwLc/N/tbv6/mGVHn/+3psbTW9Gmb+/jx4f8uXUJhuX85/7VunT/
Ydksw2HgAzake0kb8l+WRoCIJjFy6J488EE/9y4t6x+BSX+SVqd7xnmcvZXtP5Ps6IT6576mQw4j
jVWfZM//IMnOOYec/pez0D8bIwOLvroFlQPrZfgp+NFDEJxq8KORP1YXZDjvwlGUp6TSrx2L9go3
ZEQTpl7lut/F7DlrvCBPoCDMU9MOz86Yv/SSrhmOsR1eDHK3VXeT85Kt+RYZ4SIGxh7Zumvtlc+d
IA+K8//z6LHNDvOFQ+t2Vfc4KJn+ru0xv/6pjXzzz6/xc07fOc3z05fD+WYBfKZHDFXy05ejkUJQ
8Ny40YQm3PL6bRF/r7W8Mf3gDx7Nz1dyuZMeboEQ8YXluj/iAn+yhiaGtmhgVm7UWg2qz3qd18YJ
bw1VWBL9/kud7aw/fSvAmS78w3O323ewo/r22Sz607WQaIwV81ODbWP4FnCoWwdV/aWb6cXp0DrE
A8LqEnhSZCpfRgHi0bXpu8MqSFS6i62x2y899vIseOH/9VDX1aUBkijyPP2cGOMRvP+bnUauJ/3I
85uvGonPWjop6vRanWY30aTMZ+M2dkw8d317cFjROWkW08YlNTxK4/nNH5YXpbJXRwWcDArT+8PP
/SOA+L/u7I/fQIQe4E/fR5pj2efH+qffgF0vHWaH9LRGiF1Ks9aq8PvItNvKBkJd80yF/wakcG1j
8Z6yM5JkqN5LI/34/c34caFfP0hg4QR2AtN0bdw6nz7InNJBrxIv3ZQd3X5LgRsbjOBZJK2OGOF9
K2knUo9C4CuPul8eGm++pREX7BzcoSv4jLdOr+/zCT6pp3ZuErwtefJazdaWMvTuDx/2PIf4+cMG
vi/OdFXbN4PgPEf59VercwwWRTfh1DUXXJlIGgNzfHAH814Z/iVqvYe2bw4oyPfLRCiqMp+IHcF/
4ILymVJsoXk0WDTmUBCuF9KLUt9/GCVROb//nH+5u3xOMH82Nk1eJY+V7tfP6SUKgVYWGIC7y3tJ
UMB2rOChqnFC9dYfW1gy8EhGc4WOniJcL6+UzfdzxYiDUub3H+az6fvTZxGfZjumLwlqIk0iiut0
NUnzfBzGMgrQUNi79o+X+7EmfbpHSOh5mlzuVGCbnx4oQtaJaQJJETnAHjjDy4b2oQb+PvJUuPc4
ce2tmKsG8ZOBhfRscUQEiNM3fQ1mh95nHrebZKyIJQvr57hnnt6G2ypvHyAvFEcb5fe6j0Ni/bzs
NgSsFnVkljA5OYmudfe5D7gSb7Va68FezXZjbcakP4owzOmoe9XGddWJ81fCNAEGH9xJFJ0CUW/j
qWWFqeMcPEVUU+csN7+/Eb8usQEQX0BB6EAA+voWANhPDwWyT1CvsCijZXE3i5tsc3kFHBZbz+Xv
L2T/9TVhmEcnwRQuF3K8T9uGh8vcrmPeaScPjtlQfMBg/NGswa8TOvgy2vRLPo33rloOXT/foTh7
iUXVcr6JX2HCrWuvfU8C/OVmsdel/dB1+nJqyn8irCFL/30KrfvXR/PXz0ll8fMiSMZdwClUFYjq
/dNswRovAsKR8uo5ZoOmfz4MUSqHbJUaabsqp/pS48NbC4lyaSEbDKmpwcCrNTbTpJw9EMHhUre6
QmM8FnuPOhK9lg/fHsHeUz+6eLVVdzU04ItdiUJPoiBcGedzcB1yYd8ckLkscE5jnDNwCmeUgiqr
NoBb+13tNl+YgbzFqaToR8v3Onv9E9RBP1qoHL5XkiDCKU4YU/UqOdZ+s2wL5MS/v7d/fYiodjyX
qodt2mEH+fUnA/xMueHUIXGT8RXoXRZBYIigfjh2bn9/KevvrkXNQd4ww2fLsz7t09BeFDEXTRgN
9uJc9EzWlkw6R6k5waSEJ+JSVCu/ni/b5HsSZCNDnRaMV8gGO3aNjgAx+9wUT9+gM/nDhztf+9dV
JmCSzlsb8lJRr356xMt8sGjjFXFEKsIFJObAM46LevzDL/C5UmFkL8yQRSzgGhZojl9/bW0XdL39
MsHziDd9Cqb9TNIxWZrdbsnShvyg/m5MpHwrlffIhOvWa51NbtJXDty636ilkivF9A9CznQjtJee
MIsWpLoF7h8Kir/7pL5w2RR5LOitfVpc6I3ESP+zOBKMm6Y8q7Z4IYkzgEOTmJjviEXfmmZ8FHb3
h/2FSv7XOxGA8/DhnQSYvwLv82IzMAhfGnKe6SQHT/G5ZRHqNfC7yCHtE0sM9h31h0taf3dN3wK1
7qKoYIH7dF/CajbJsPLCKFQgpuyzKCyT04V0AyeyM0r7qv+WFsOjSl3sf/6bvRCdFBtfwTcTjUrj
/0pMNUppB/ZDsM7yh98/N+5fFmDsPz4p3udFGFXFj8//U3U3GYrsYLszolaQq5brXUz2REzk1wrL
Gq7/YimPLg/RONnfcw93+eK/4qiZQGfFL1oRvZL7LurY4XuO6qCaTGjfKEeNIrsZ/WIn05GtCmll
KJtvPvvtJkCjP2CaPTT8z4t0xwuieQjrndoILbLaFl77MVfmQ4+7zWqTqD2DhnQB4yEeseyRc/f7
XyD49VjGZgeln2NLQJHLuwMI59c3pybZhdNGSuNnCB4gK90iAdgHNTN2SWDSugw7vcGHcSmnhF5J
zD8BEE+vqGw3XdLedXq8czXSd9OwxTor3PVkazZ48NqiMp8DhcutCtsRmJg+JW0HDmpm8VbQWPSI
wQDXwylI8KDRIXwT8L8As4t7aGcvlp1d0uuJUO8fNOapISc/ZDSxJsAueEdiL7EsqyvdZ9HAB6V7
cU2Q12nK81OBfwjrnfc2gCw3HCdhTjvuus6/bIxipziDbKawIMoCxsPWhc+1mUB7NRAOVib9pVVX
TdFsEUicMt11Jh9WAaI05lzfRp1cN+VzsISkfH384VZ8fj+JK8CVaQYc7UwH1P+vd6L367gGlUk9
ZgM43nsBIPK9onEMF+XHlf5PR1L8fxQ2gcWOo5H90w8evXVv/+3jh2rs6q36+B//fdfnxE10P7dP
/v2n/t1AofZzWA1Qa9HRtvj7/iX+Ev8ge5ket239W+H1v8Im3H+w4Xg0EAJbsPWeJVv/aqDYZ10Y
IAgEY7b947j+nzRQzjXWzxupyRVESOPEZApGbfGpoAjtbPBbbC+bjuwb5NMLdrbUxg/3049y88+/
8H/fyThXuxyG6Pec20g23+vTZVqe0Hw8oyt9txheaW2SSm46VApDVwy7hOLpD8XlX/aI8xV9mseC
swgYEnGubn5ag8NqKURfxP4msKawWkmM8CmDRaYPYJMctGt+ld0LVGj7LhZ3PeArY6X4U6/17DB1
IXrsovVTByA0slB76YlxnMvxskqW5WRNhfxD0f6jmvr1RgifW+7CxgtRRwefiuE8MIp5nGpgSHFT
vRNAXhB5ZPGvGC/CiJasAG8e+OMKmOW7bszlvZ/E+DQnudx5/dnJ2/fFIxGuHcrfpfn++/tn//U5
4eOhNgyoL9ArCp7Hn3/OIMSZjC7e3/SWdC+zhXUM9GLjREE7pkcg30GzqvFQHxmYTBvTQHLeJeQE
8JnFHspG8MWek+oaw8/RsiSOHuOWAQuqpRjpNM1nIN0vjuuLHRQWfVOSDfG1TyzwC7OSd7//Lu7n
Yun8aCBYAcPmAG7g33/9LgKQntn1jreRxJqdGIrCtpwmO4kmKdKLUWc90QWO6W2Mph3fQQwR6VpW
NdPPuuo8IOihcdtPU/dCVwqhA9ycU1UY3vNkFdu29S4DndkRCG+yl0ojua5Jvjh0TZpudJK/SI+w
4yz2nkOvc646gyzXGpbNnMF4mXEBF7r0rwAg4h4BDEw9nSKcpL6x4i1maR83RoA0fSb2yC5Hh3gG
M30XvibRjzm9PHq+Qu6eY61E5WSbR7weIxEHNh7gqAFz8fz73/LHi/vpsUXKz4kksBzL8f1PrxnI
VNLS2tnbEDxYXTdmUW8bOhsnuiO7wLG+I6ierntMRi1pEGC09r0ux+++KvVXrPrdpWKgjBxd2cEB
inwZgTocUTTUgbU2YkfeNGnT7oehTaZjIqv5PexH6x6banMMS8BEZJ0nJ7n4CS1DmZHrlpjTCa1D
vu163/zDg2P9zUvAm3neEjgXebwKvz44Upgosc8vQVuo4SpBygoH2TYIT2dZvzFmP9wqet9gcErk
3EokR0d6KFthB8i9tbji0Wu9+UOPifnt9/fh/DN/ug3ivMjST6TBIPxPFXGZzNVQeqMHMMcmc1E3
3+kvHtyO/MlgGi5+f7G/+RmEG9rnACWHQeDnZnHD/jASjOhtoFQGz2YzN+e3+E/N7/NH/stX+ukq
n97SkihKv3UIVCucLPswSbkCb1ufMxy7+k/Hyb9ZEThLskezowrH/dyS5pHMpbSVR1qFYx8do1re
aaKAJ9YOLrXpnFVfN2OIstU0UY0hAoj+4580ZAIacpjyPE4151bJT7sVEQrInVKIw2UXDE/WqFzc
1kvwh13Y/txx8YRF4eAxrgls2+Rk8utlbJZcMZe5vxk8fScxCK9JEt7RN7mdKpLLs2tQx5Sm4/tE
EDmaJeOaZNh4xX4iotxBkMn0jl556ja3fitH9IWU3t6EHUsCqZlTcyOzhBlJnx6kC9YbGP+io2pU
H9j0/nDk/fx8eEJ4tFfZKZn6UFd9agEs8GVVj9Vuw4y4AQMEcoFEjyRa/Mb4w935y88WMlFh47N8
ChjLE5/ernTBZRz0Roid108u4rkw9oG5DMdEg9J12rjf81OHf7gopeDntxqkPusN5RIrK2Egn2/X
CBXYrkDpbVD/PdB5gCifCL0L42l8dlRTERs0tXdEex90Mr4E2B63AYiMtzyBidaZKVxj0q4DEUCf
8G9ayRCWxU3tiPXekdhE9HOcvcR2+9IMIL1M/NVCYPJqKxReqoQiDMjr4BUDU/ygNW9Cf5R0bAlE
IS4+IckKnm5mzuYWkZJ3KRpkWQmoM2kb5TaYwK2FuJMQg1e3PW5jbEuJ5AW6m8F1segfClfck+/d
Xy/+G/kx7zUBvNc1U+oIl1Dy3DZGf20gHdqODPujeCGqt1JoftG65Dvg4WgTKlXmL4RaWdHUZ3W6
Dqd2eLeRcu3c1MWbRcSs+zJlNuAGs3qQcrjRYtfzPbM8sb4h04BzHpNdkBlJ9UpzI1tQBXh666mi
IFooJPGk9EgJIyTkCu1gcWNNPspCO1fdBtQZey4+uo/WKcRlhSFym1mJhfqjIHcLhXEMusfHyBmz
S70WLWpryPHg9nLmUaV/7wFEiTAogyeo0TmX60Wl8xEKo3sbp4NaB9nMCZIw6WbaN2m97OzS2cf+
Qw8YaSY4qJvt8Ps8Oqdi7B9QLXzkVJdPmd0UW2hr1SYUw5cqVRctbYBt23dEednKelJ57twOhSYA
cZZNxd9VYpQOlxA8qLqtwuVpSnpxORT48TupNUCIhFFPITDwwVMdrvW0TDuL8c5NR/fnvW65bb0W
yEPiNPkuhi7cJUvc7k0l5G1bCuu5VrL8MmbOrs47rPdZPombpqnkLbY/7HZTYqbeurIVTuZ8mB/L
ZMEGTcjuo8SLuSYAZX4w0ljuJAftK2LOE+Y72rgrKLSuepzs69y0zchimMCVfXkVL0a/KcbJ3ADk
tN6M2NJ0RhrvytaSfCPu3n7Jq+427cuvegjmr/n5G46mZ+x0PNzAvNgtzYNpWZCMqvma4JfL2Aja
XW7mI26JovkWY31+aEweSeX0MPoQPkRCFRZR0CVwBabI0YIQC/xb4t0GakyvCtUskSkRSTQYJr8L
syXxFEncBWES1TWswg+g4S81TboQXmkDiEPb2fQlaINm7yajARIag3WKuWbVt+lywPVSr3qdfAEq
8UWGZNmg3bH017KxuqdEFP6+ClW1C50ZowuxQcQkjy3cWe2RC6b9PXTRcqsNkUCK4EMx54c9omvj
EnIS7kMr5v9c1HessBM4dDUeQERCl/PrZGcHZ9rk8OF4ybEkhGXVMnKrmRY40zrHUr2zYancD4gf
N8NERGrhCHENyA7vbWMQS9DPX1uaMnclvZpr5PeoGKsalZqTDQfUmTeLNJ3bPq24J3bf1BFePCRU
FjnYodWl2zQccQihOZ3sRp6CHO1K4aCqhy7CUDBe0sfOwdlXOHI5miYxtV6j2jX8fkRzbgt8wVe0
Rq0UU1ePw3NAEHmVLXF5683NeNl5RrUxpO4I5sp3npu9qBQUKMq4OiK2SbGu6ggB/BBNRH5cQV0l
bcKYiFUc8x5zt8ojFeLmIa1K3QCdDxPiYAjk2zqV+0SkNcmGToKEMsWRjjT+GuRuf5fE85FUDUR1
7WEp8oeYXDa+sSxuHRPpTzln9ru5TOWdHHIqfUFS3y5vbVR3eqlzSI3+taZbGtWStCE1OfdWPK2B
ANqrvo+ZnAfMLxbZb0Jtg6ZVxxTDM6DNr3VGcHxWDy72dd/eacO8bwqJ/3AaLmv0yKexb3K18kCY
PjPOsyKpxjp+TTieDas0roItLJyO0/Wijx2ZR9ATnM3UFslVTzbiurNHa52OxBAhBILWbihkrH2G
IwnkaO1u/dAlinaMcWY6za7J8+JIJu1wY1ikpSBDrU9p08gLzweR4/rqFmYqADCQF2+ZqxvYOGax
s+IgezrHbW+6yc1O5Ko5z3zqZtP2hXdVM4HdhSS17VJEYSAEjfxCCRPoi8/Oqe2ZpK9Khvsh6/u1
7HKOg1AUojZpqoN0vIylnwjfQhfmJXYmEMaKxTvP9K22vhcpfQSs4HP7QGeyBuaYyht7LOc7eLGC
OUl5znkI8qPpOvPGLbv4S00a4HNfFrhS7dI6O3rUriZw4VCkdr5zNRZu0XjLWrqt2g4KJp+kfX/I
0rC5yJ2E7TadUX8UaTQVkOfo7HQbk297GpPZO0JJ8U6x03sbjO7mgw2/4bbMOuegsRadEHT1GzPM
k8uhEvynNhzg+ObvslL5Q+pVJiCHxNzziG6Y+3wVlZdua0Sv8ypA2JhDzEmZIpaSuh/gxnxoob85
hr6Q/bVnZpuq9evrsczUKpEEPK4twpE2BrboS/JGm7tuyTwCOlT1HNiE9RiG+zTHrhc1qcn2p7ph
540DuTjgcwBPYFqDouJX57ALLIcOVCk3MEjhMAl/CGAY3wMidE0K0zIctrhr0oNyAglmyWUsZYFH
WtyKBz/utCGjqfbdQ45GGiOj+UW4XXAj+PPw/gzjFgpceblk6t1vyZokSsChAi51fV/r/orUzH3Q
ghkW+iIpluTGK0I/mmbEKQlsJXSB/M7Mvry1IrZpRTuKYRgh7AkpE4IcOB1XIy4ya043wLfC69EK
+2u8bckjR0z61BAorG3o1n66CtpBXzHyi58CHVh3VdWZl3Y3ygsnSabLaZra99bLzGo1qDR9GGs+
jGG63geS+/CbyNL6osggiNspf86KhRGRD6+tVUbRx6j8nLHNujC/2WEbnHBKzsYqwduy0WFQ38k6
qA+pyocPLG1+D07XkEe4c8OuJbYHIh3OsEcjpibJU7xCoPrYrwfaP8Sq+FAx3FGSfCF6FT+40sId
dsbirFoov7tZOV5JnYmUB4uYDVKutcunBg8OZK6lTCLdlgjYJXSNeJP3DuMR1eThFdClYWsXxhgB
bSezHgyy95IotqBAxuUL2JoA1rdhzKsC++dqHKvwMiyV5MMzG6+oZ3JnM0hDMThWxnI9FTQoo063
8lrOaXuZD/kduXpfXcycPazcbYpF8EInMXjwfgGqaPNCL2QFzmkBJcZZmg3MEKKkz9sNXoWA6lYv
6twimqKaQM1IlqI/2Y62tmncp9vAyeOLCnwCaWxVPBEVhOSISEUGluGW3RWxDeDrasUoJj8ahO88
1dOCMP99cYM7MdoPpMu8WSo9iDkhyrJ9Tm3X3VeJUd2qwRT71kSk5ppVcCoHUXRR2WTA1U0LgXmz
LOFVZUodMS9c9lVpkJMSlMzAcuHVl6Gnu3ujLQocgthLmIXbWLrqDElq63segDbidNd8hP5GxV5y
S/bmfQy5ZU/yb/0yLeYCSno0nT2tpfFjyOPufqkCtZunxtgQrBjsa4CzUHrY9t77XkBerYi0SNxz
fBFe1h1vMoL3Tje3hCKN+8G0kpe6gaKrrR4EY5PU0zoJL5y6kLd490JIfyEaW8zy8hBgWnzCdc+m
IwSyXMRqkEAYtnNmNaFCo+v3s+/8mXpT6mqRkZoNoF+UMakLrRTGSTGKfEP935K9SyLfxqXVutF2
WJ0GNzWgsvlNsAUqQXwOOBOWXLdx1lZmG9u6DcW9MaFWWwU0DR/RCjQvHNjNIy2KBoSuHfJy9+HO
QAhMYOhya+Ujzpiqfu9oOm4npzPfeIftzeyM8b7oxXJjDCZwwyBEizKREnlwamFcmqkTE2NLENhl
iar6WlN8wIgtkDxYZbPrY5FFGTP7Y5UIWAzmhV21UMH7JMMuoNJ7dzCa+8VzjHUvyRbJKpbTtgr9
WyIrzNeUaMm7Hs/xpR0Aw+OvTL6dl8LXCv8HRrpKefzDwjrqHNSJzI3wMVi67iEoSBWN+i77xsJS
XqXDOD2OJkl2UUaay9aC/vg6zrXiO6TFPk3Eciq7LLmylgR/i56aiyaXzkEiGb/KLKKWAMUmXzLZ
x9fAhGpeIHovI8jrY0XB9oUkSIiyGp8ESYmLlGDMXGMjiL7aqyEYwIP3aXZNZ3B4gkc7v0/GXF00
4dCGSN/H9hb3ZUA7ZdHzvqZeO/pl53+MlrKZwuZ1duvwqN4qwfwPYtdo2wcv4Hycwny39gTKQF6q
sxFbRy7qfVqP+Ze2rfSLyl0TlqLJ4ACny2KGEcV5/thbTKNtMRMJVBm6ZQBZcbARSWWeVEoKmwF8
Y2ORabUfyP5FrmQx451TpBFwvbfawTLFW6KYTs9ifiLSoX40MqMk70V4CFAXEO6q7q6KYAJ5Bhxo
JYai30u+AhNVIevv/FfXX6NQp7QsZkHYbWgoZh1TIjwC8IDEBzqnCgHfD90NnMwjvjYapqZJfcf/
rKBMxNNmWAb72hoqHDTQgDlJaQPDZBrnL7UHCWMTW2fBSVNDNLtz0rTblcqh2DWWGbV947asDMl8
xxelhS71ZHCoqpwdmzry2sCv9oVDcvZTFcft98HOS47WdA7rC9sFK7LmYIA3KcQLgZI/toI5Kmdw
GRGVtGFcmx5W66M14zzbTJ733FdTtZcL6LJycUKy8jKFXXRoMBVS4ecNb7snAWI11YgDcVQsBcvS
k4pXZCFD9XqSEaQ5iluyuOQGx+5sn2jvxQRKZ6Q3+djrmbKjUz0w820uCydsH6HxECh+hlKNKuCc
Zojp+yJDhG6cvceLxWiqr54lh20rS7bImR0W1BE+nVMFlu0LEXft95Q+0KW5eMY7X1299PGIg0YQ
KHbBVsgywL1x683cV0JfkRo3X7WNfw5h7JdyO3iDeaIblrCeD7ilowEbbKTIpLzOcOBdNRCJXjla
clwMRiW+5rku6K6zcH9RlgiLjXDGY96lAtfiCCYPzKEvX1qFXKOUbvzMSIn3aijPcYNZc18PsTjF
2kuKLWnRX0sCu4EcQVfpXIYn9DN3+YDdpxgHfmxaYKt6MZK7bA7AlWJ23DqmTI4SzNh1QRrSDxG2
xiY8QL+e66U7zJWyN9LIdLep7EZ/cXJ/2OdsX09JgSWRFT71c76J1V6g3SzeCMxGzjc22ISlmcAy
660b2eaGv2IHrMVqAoZjrLEwxPV6mua4jdDZsktOw3KZI4N9HjkNf7U9JQ50VxN4FdNHaw0fujUe
TY4AKxJ7rQN2hikSjeNucY4a5+T6/knLJLmAiheectKQP4aAAAMiz7L5is4WO0NFYU2kth1gBXQt
2qA6Q2w3SeOjDc9RGMzWvsOsGttv50vAJsJ5E95NqZsSRGjjMFstA47klc84EyAh6RiIGAdn7cZ8
OSxyHMGXJ09rQsuKZfyawT4v1oOYuuspDm6wUnqXHWuwx9eKo6ybWjo6oASPQ4fGT49uR9TF/GLy
t+CUNAAycTApdkCuJuTFiZgiPS+voqcPR7ho5b4E2AavTRU4z0Ar+eZswyv6i92BGRdE6rpyns4x
la6RoprMYzBChjWNa2oZUpjLQkQK3AZMdHUkcmgg4kLJ97mcaLdVvYFYjbOuMeUkD6mxi9dxDSez
ET3vgWERuElJmyDNDG1o2RNbMv6naYdG39g1ZltGlfYbsBi9La9a26i3pquDQxPYiblipbNQ3AI+
oJWRh4QXi8lcE7dwWIDOVbFOb/4neWe2GzmSZulX6QcYJriZkQTmyum7y12LhxRS3BAKSWHcSeNO
Pv18nhWNzs7pmkFdzMWggUIhEpmhULjcafaf/5zvWDa6YEBQhhmwd84RUPUu5X04yxnjue9XM9bB
vhtDSpdZuhI1I70bnKj4fgVG7b3EiyRpOjdEXPyF0CzR7bXg7D2CbnfO/tDLtc915XWw4OQW5LSB
UMD1t6dhDJMBhAMejfE8jVDU0RKMeRM4Mdu6kvnqEeIr77phHE7A35MP1SwcwDlV4aTEp3s4huVz
QZL5m4Ju+GQYynthX18xEiURgXK310C3FAjMXKbwT2n+9V98g1CWU+f2FYd9wDybRCEjUH2wFuBr
tePcsMq3wg6dDWUIQQsvjTsVNBtxl9xxTKeg3rFZhwbodlh3N26qrGY6TZNAd4y/Ig22QTVytacP
qDuwhfaXW+NBXWxbaAtPneWb+5zrfcXT1NcjY5cNLTIQo/GY5HN60VUVgW8sul1cEVMaRyHvJrfU
JK3BwNJtnQK7bZmBWvoEmiitH5KpegBu5TxbU7QqG/tHUsl38pSwBiuQuCtufHoj6dIhqdXIsJvz
s4QjtlcqNp/gfDuhLh3/WMxjfk7a7FsJVnBl5UP8S2PVv3qNC2E9q6ID5PRlY+jhGuEo5SEtx6ex
GM19n4vsMnGSln1RbloYqU+AedVVLkWxa4kJE6FHZUbQdc4jeb6dkHW37VuMSCxD3nq/MQE054Qr
YTxREuXteugCa7Kxvzqmlc+ZAh8M9qQsZ5gjk1i81cDmKwM0eQCwAH+cmPfOiylQyiOvAyKMOrBZ
6Dv+1vX9dmEf6+iSnzG7ro05tx9uW9CsOdJn7PddI7CgkXxdGTxJS/SnnRuZ/bbKTENjirV9kor3
WmhGsS6rB7IvlDdB4sVM2LFarjemJhbb4BapjU2QlpchMfq3IhCfvW+oXW9M1mGm63HV+SSfe7MJ
q1be2Uu3N2rmu4r8/qnR8T3ab8XuoNhVcfpYGQIkcL2MPJoYh+2xmJDzh/mEAPacwflVtYlXb45D
O0kQ+4a+PjiwUBWgVGaJKf90uigJM6f5Qa/hHWYoLFcqqbA5WbYiW1b7NseBIba1YARaRHIAJ49h
tQo0Nk3K0W4mssQ7CYPGDvJAxgrGuEddIsWfvgXfIbqNE8IKph8lkadTMWTumlwsQ3s/bRXP3LXp
kX2jblT8rAgdX+lDwgWqYpv02mjYcgvovtvnQIFctJYqPgojobKKSiPx1gyWod6hYNMQ7De1ZO4N
rG8OhWPMWgNqWzYPG0LvdU3UWW4W35+DLQsKpAxClY+R4UZXXUM7SfqgCnb48w4kE9bK1/YRaxpR
qHIYx3k/eEvyTlaUU9GjQXjVJFaVfjMSoJsuE2kcvCuSk2JlEWsITU1y8iQT5hOodtKi8SNIs8dA
ecI5sM6mgZTE7O0Bl6R3uRigPNHnG46aVP4sITaAIltprNzx7XkaSCqzm+QpBZhw7TuKuUKeG+XO
SRc0zTEqKYCSifTe6jLvb71s4jODzb5q3KAvVmPAvbllrgttCk63y9LZoa9ni1olwXFPZhI1IlED
02JU4y7xjeYVoZisuj2CUpo67wgmFg0fXK7rUrcZLfkFhh4dcrW+dyhYa4v6PTZBRbLnuqcKijh8
ee8Y6gSWFqKIdaurc1WpHgUXEqzoeUwTXaqZiIF6toqOn9n6bMQEMJbm1D1R6ITt0owNMw12QxH8
GNTwJPT06kbtRMMt4Mt1SnnYYaJlTvmquzFRqkvgQECQDW/0IkFsVLizMdlY/RNnd8kJmaGSpTnl
64wBTKqd4U7EXwl6fy2DyMPGdVpCbjF9Z7Gz6ryImckdTFwmVGWF5B3GK1Uy3bMCOUeyyEGkzoW+
gNB6MPPs3DpGtLEmz1pbfoxI0VZRRMMrg8wGV5pe08e8HIbK6X7A3GiLsJHzdFo6cqHhILKUi2/C
Wlh3HLoFplRWFaGPXjCnKtjPJt3bJqOOzfOnqC4mie+rHgPK3kb008Q0WI6I9I0KVGs3Dzxx0Van
c1KJBmD8tLzOHlNbEbLKQtmQvFnuZVO8jqPlPKoFUMK27Zz5R20m2b7ndnwGpytfZ70AG9Cs9bgS
LSKs0jkwz1Nu0FzlebwM+MEMKAGtiu4dpKEPZlOmEGo7LgltQQgVvH68kkbsWZsISsEzIxxYaZpO
YA2FY2GZJzcw2Be0Q/YMFmzf9PVIl9L40rV4n9tKPbNA3oFN8fY5uyRi9PTlmTORfmiJAo07Ne4d
xUqR50ryTOQ2v5E1mEwG3mirXJrNr3JJLrX2SHEk846k9BpcarWR2ciRjZAfLn6CAh/Xm9imf7DF
aQMgxK7VNpgLmxkfN4wkEpf8tHsMp5ga63FfMH++mmWAtipdfRCprT/LDD12Pdm8QUYIZMmq0MFw
zUmwTaG2uoy6PXjWwbJ4d17sF89QN9pm1yPWBaHpqoXvy9OroZTqEZbrpfN6bhZDnRzZnLBysIt8
PzUBtIXG7HE0u8W4PC20KO0xno3t2qazbO9nJlWDJQRDbitp+kpiO/lYrMYKS8w1V1nDSOFeWCcn
sbg8woQ3PHQZa7PBjhjkKts4wQaqGZl05R4ae3CppqNY4jJyjzkOM3BUVmg1FXtxPM0tZCmKAriK
2e4aXi8bC8PuX7IWNIbvL/4mkUOzGwExca2zD9KrOQbHWOxEyw1qxVBqn5ngqlXcsFUc1lovj2X9
2aaJ8VVlkxE2Xm/cZbcb77jYyRN+veriBENPw1iePqTLAovISp2HADnoxY1tb+MHhlj7w4JHW4hu
ZS+Qk0VWTaGbEhhnl5fd4XMije8N3J0jTSG25uczcJfb9jyld5JOstVc0Y8GhCmyvufIDVRJeP26
zqirLhMHIA/ItXNmVeIDNiDIC1Q9Do8shaLWuwI6z2ikYR734xoNyVmbtJLRg2B0r00Si6vF+/Mx
ri3eSsqBBuYu1ZPAqrWq2EOFnDztOuUhi0A1wM4AjYGaks3J2s8EWN2iznZ9K7vvOuJZV+EjT3dj
ibNtNZspf+PC6GOalUqLzZLyaEzzqvjDxUf7JgY/uZ/tVtMjRlevjVFxVaVAV2EbEpY0SdiLLIfX
WzoziAGfI0dVAz+dsdL+uzEab6U/f6nBc87kCx94Q6HWoyaFRd6lD7FhFf26T5vb5ODGxXSBlV/n
u5qpt99VPDzJDDbtsOdtrbk+3lL8Y+HHB9AS6tnTZjvfDqLBXFcBVNPQ4JXFMrAEd+VgRXivi+bD
VpQLorlHntPda6OYD6U50XWVGZSJd2OKfSbukuhRIRZdeXcl37Oytl5H28nX0mvVRhmC8FoVLfey
rIDfe8CmVtE8sHbOLfMV12X3nIFkW8Nv0cjhi+Uf4samINWX6itQi7+uIzPbwOaer5q617uyKIst
p0W+kV7THsvJrJlHzcFm/WL9OSX3IbgjfTJSpi9b5flRzMo6GF3QwTlP2JgsuT9vWxe4EEILnZ9x
Zrxn1L+/OC0X7ZIhad8S4kKHpflpSmhSszq5ye2p/zQCbR/ga8Dd8eyRdF9sJXeUa0wPvCNzrtRu
81bJIf1wAlAHTayWq+fZw7iamXfq9cz6GAfDGtV4hb+R/89QSb7NtCj2EH/hHofm0LVXayrai5tV
WlxMvxyO3QzxC4167MGlBcleJzEb9CUzH2Yn9pkkZWHtAyvON7Xs8KhYNaoerWTfosGxL3RTcxGx
PESb3B75PPPRA4XCEpPw43MMM1FoAwvV0lZnozKevdL4crB2fitqQz9VvRttjWpKbrfaagjdJHkx
jWa4n2m2+uZM2fBkUNhILdrjiNS6td20f80q2T4IkJevBs2kG4KO/cmpEj+k5rp/5bHyKunCOc/G
7X4wFtnFyVz7VOatucsVTYuKRsoQMFj2OQwROJHRNsOmGBJGFZOnAwarPbMhARld2x1Fup4rDrnX
6t3Q+MtboTTd4ZB97I/CMbiPtTUFijn35BNsYbUGEoMu65bUx93YiKruiRu4N2tE2fs8mqgCKmqJ
7iO7XeN4/bEeI0j50rJeRUAhI4LmcON9JIX1iNianOjjcOgA6VK+qjdtq9rMDgqi2kPt6XZTkI9b
01JDK6aFpJGWv+AJb+XEmZFH/bTjGk29wey48K9S2lCiG0JeS1Rj6as3P44/cSl9+aitIS2b2ySy
tpOHRU23kopPXX1lVLsC8zZ2ZdKQc57hbWezCwV7oARA3Y1e9TKRTfWnxVtPOYshw5pN9sbxho9s
2Fsu2V/POuRDfZ2hvuAYCskzxkB6yjwUY4IDga0QJYMTiyy/R+4pYCcp29gvpj7mjrvv0/nO1ajf
xOjYCPEl960/pVu3I23Fxj1hmOz79IdXz83WoIHoDII6u9rsv76JkomxWmBqyqKydv9juVXZNazu
Nx7NP+9GHLtnRmBzu9AYtCthLT//6Wf8b5wFwflnYjH85xTgh75M33/+NQjy+7f8joHIP24GUw4p
h+QTYCnMfr85GpR8+0Q9oEwjmQLEwG/7Owbi2H8IrtXezRd6C4FgPPz3FEjwh3BtC6gSRuSb5/df
agYP/L9H1ojuSSYJO8Ajxv9uwI6/GlCVYr5LSrvc9f3Q7hsr69/LhJ2t8h1o2DjEuGOYCPKGW53K
Ace+KEp1aCY/BfpfQn7BdPpCv574hKNW8tH3jK1nmcCbxnQ6GVkZk3lGy2yEiI5ucasLmZZ32bsP
1GqunR6vqJyKk2FQwDwGOBa9CqNdEyQXB2k+BEf3goz9GdFq6gyiOGZtrQHA58T5HZNMFZtfD1av
n7Da8wCUi4RiPU0A9+gsbnnmw7vcl5ZXfKDroPCTHfmJqQZyfO6O93UwGzxkDYX8IV31YpuDCNl8
1KE7EwRrgij7gXCZr9lD6R1bXPSELMnrz8EE3e7qSn13i3Y8GOUtECEtboFl8Vhj2HzHFNsdU2pr
DmPj44Q34D1UtGs4q7atcGdyresf4nya9nRxlqdKjT213a2YQllS3xtTbPY8cw9SzTRdE1SeSxu7
tEpBydgZhfdgAwp67gJTfWmwvK+JHN1HMLYA8Ew/eEh8jU2q+bNWNEquZEKRBez5JfUG/RCLxLo6
mRaHntf6BJIyuRtiv3wZo8nEDmo6wI1YHPHWCBut03eO9uQSx34MyiCxrGBVjd5wxWdZXNCGviLk
0hDMEg2lvdSvMqG7zXDn+kMu0S98Qv6y9oKJdFG9z2JBoNjONkltWY/sr03qTLBXplRNvLpyqu8s
RJKTUzQOguKSf7qwmVZt1twW5mlMa0npGBcsTX67wiwiPmrR613Nvg3xGIpVFjfjsTApmR1pmdxT
KlwAIPQpJi0N+6xn7ytqTpb96qT8ySZx2msLOfOYi7ZdL+TlYHOlMEAXNRMsKBDbF9DLBWeorLJL
APd0F7DyeraX3LpHrGhC5Vb6u9Uu8yWfg2itTPY0s61BS+oC9fbW4tZTq0w/u7SDMwS0hoGhqjFJ
xhEX7pKDKTckTFXXv3S91220rWmz7EAl0Wo3HTqs8xec+M/KZRMeZAIXZeL523ZuvG9QTIctHd/5
O41SRLIB7iehgLXGrktZm7SRLYBCgGdLaRjhNPfohbOp17KvzI27sPdQyazPBbLu3tacR3lqFodi
8e7LqdkVLEpXnr/Qh+dH7lqkPqFzufLmqd4t6rbc17T6RSEBzDIcye2IeN6BpUKaE5O/qnsze6wn
mWxrg1Exo7OQoiHOaquROztKSjLJpv+WUScGsxQC1iPmr/FJlvUbBqCf+FwAl7Z3bel9UNZO6Rx5
131tNO5NOYx4+Ny+YtH4lJ1ZY04b+9PYuk++lbAMzHHx0ac1YzOm9ccZKeaKiCOHU1J8OqK6NMky
cV5j9bB6aTxVsu6/x0jZtJNky67JABN7Vdrh2Cytk5mq7li1jrsBMO19daTPtzDWnDNcZT5MDLCb
KPGCK9Z7XtXJtXl4QG5tKShB1YAGwPv4piTONxrRUk/fVRH5B0Yf2CsZUrxtetVx8mjh8LKh3Q3o
FIesEog7VtvKQ4tIBnExWh58tYit8nBuRI660cXmm++an/aciTgU1KCuLIPVbBZo+k0jgllw7dyd
3QuutWSWf9bE2TX/dTXfdQ3dk4XZTUcTvfv7XFJKMWABvOuCcTiaeiqPZT6S4MJC8JMgUncaY+6N
rBJNrKG0qOJIY3jMRy0T/Jij88ze0KOKYc5riKRTjwfLjX2qD3jwbeLEd7Y4b25VclJ9kst7xt2j
N/Wc7OArzqB22n3uVt6aA0O8DiU5q3akooi/Ob2h1CqWYD1mAQ3al+lro4plUxAUCTEhdtuqgqYR
NTkKYGoTpXAaqBFt0PP572YRtomV7LpSmA+tl28ys2fQUgFQkGhYpYF3Rxkc5kSQjWjIlEIvDLMu
fo9yGaaTqDi7KTJyu2tsSIo++vEz851sP1Y3w3c0sOtKHlMHixGNFRPXKoa5pKVNsgNSsXMY0XaO
4AkOhHCBEkEuuC+WgWkME/LgPaesB9Av+AKhldXza53y2FgpuM9iP9BohxXJjUKTakmKGJtdZ7YL
A1pElyVLjydTApflq4e5P+yjQb11sG6nPPlGku9iU91eUULDhAuQs+0MCMk5W1I6veM7DJ/pcarg
W3qpBKLJ3/y7KALnrXVSwtMUj1A7mLAjiOor64oGOxd7lNAaBlqGi7isX7n/soiVc3fvQfs/VZD8
vorANVa8c2/HIEDHPCvKbStkgLLfBk+tTDDyT/1Gmv1rT4dalFKOPKYLqTd1rprY5pjNaelGpcTF
AKvOhBrKQ3WyzKOhtVqNTnvnTDOBMnsgH4dxyE2dXYVdt0H2p/MLxjph+QKDE0vm5uaCmGgEs11f
4R5Nv6x2DsRWlmg8q7y1m6ujRk1J+Jc3OeMvCrqiC+235C0jYZ9E1/jlbhgJtK+h03XvC8fQV7qY
jNHUGj9YWVwPqN0TpXp4kZdvRel338CEO8Y6mLMChRBT5OM8mN16rkVzRtNE9+swYq8S6HsvPHqw
DGO+2LW6bFejPY87Cqes9YL5Y93fdnOzFcsrZavTofDnpdhJNbOKo6PkG0o3h7T2731DoGSCeX9h
h4GBtOKKosz6K6+n6VtdeDSot57cEjPg9HacInj0XUYYpLMKBukGsfhCBf1WUiW76pz+1eqa54YF
2goXlvOIu6XawuOZtxx7wbmMijjZzDQlvqaCRWrFtUKJ7CON3R3tcvulTU5wVPdjN/bs81ya8fBj
0reeOVWxUbQM5m1KnzqV85ap95XoH2bDfMrM+IMD7WVsBryOLhXEI/U0Sumtslw08RR6kZgXi3OX
W1gUb0QpvXWKjnEG0XYb8gCYsTrXF+A321xEiv7gCdoyS8v+gmIG+qnWI03CbUrnOMnsbzx+/bt5
aWFfdYPhsosNyoNlcet044tZZQnWvNZYJ8Po7PXSmszj/nyt0pyE/zCKB4s8iijST1dxgS0mtz/1
/KBDnfdnSRXc0YgBXbcCC6RobRZEtRMcIxtgKWnKaY/X2QyrxnhPZ1nvZ53ndwTrOKJvK57Oo9WC
eXQitxmLOyDb1gPXb32Enmnv62pURx2xYTYmForkb1/Acvlre0iQ/bPZGMFcdf4TKcT6Pogsa4dN
8t3PS77foKnJ5bIwxpJz0AaNsa3uXrVs3ulEFevE7mDzFxp7AI2TkWkZ30VS+K9lMRqbhJXQc+kS
6pIYufhxJH2Y89J9UfhWbLhRysdxnlU4paVJk0GBniR1lsPV0xgrB4AwYyd5UQt1FymjxsLMIaWq
HFxU2X8HgKbvROKj+CTVrYhK4+popDZuPlI2f2PW4p3UDe8d1thw7aNwVPgvJN40WrpdsauHPnou
51g/msrGhoB97slpaofmQCQI7mDjU2Xn5fdGocE7xegSYxLzE0Z9czUkXf5ZFZa306SLfgV1He0m
rK3smbhB117q3tkW1FJ4pWXxnthJDN/8xvC0SF2eKqxwV6W45aEd6eSlNXOOjLxG1e4jXHC5SX2c
U5gXjE18rgeAozJu20OErx75u1Q/qH6zADp7Nq3XY/Hp6j64GH4tXmbLoqW1Ixgrnb59C1qtnjKd
5tcKgshxBB/MkWeR4iP8JcOaSWDDJwblvb0drmX82Kb0Gjci5sLWti99HLl7o53Gi0fjZyhHXV7c
tmtPBXm0zRJFX2OJ7sR6N5ZYwGeubpMTbYGP+2/W1DjsXAvnaVxku5k6S59US6U6iSZBD7MQPxhZ
9WYpVPBVd5G9DhgADwgt1b1USXIZrDjZC7fjQs6O/1g5gcmp4QZb6Hy+xXL3AdNvuQH7b278JLCO
CZYQtLYgvdhLc1+YMdj/SQCr8rri6C8Za8baDg6dZzl3YmyyX/xF9SZiNXqi98Gl5LJDL8GW/4ts
yEdXIEX7ZqPCevTV2momPNKBdePrISQWeRmdSDFdBtyxWlvB2a7pY5Y+Lc7knJPviZHO63HJ3yr0
+TBRqXeu8cYXYqHC0QQ0WNnteLoN+Wy/yy89Es73C9wjXTBvcJ8E6xoa9guVn4YDYthS65jP3Dof
JMqUJhLS941153IFCzW9Us/4oLDOVubwovC/EaAwrynS5hb9EK73zsp0doyK4TEd5dpTIw+XmSs5
CH9DWfOFXha9vcXwV8483adu+5O357RKwUleKJuAmTg37ZryBo+ZW7q7ZrFINGRmWYfC4Y2ao8h1
TSrvycm/LbF5UTw/N5CVibdoP9lW2jBuJmt6s1w8StQw5oDZSUcMNbY0YPh6jx0TB4VIC9a0bXq0
hrpcaQII9/1Ch2ELNh3aGJEEzyEHwG1UHZOpt+g1tXm0w5y3bVzKURvR4Gp/t20uT64fusT+VkNe
5SqsaiMLufjuY+qLfR93iRrGu4JHIX4NYxqurUjLNwKNfHic2Io+mgiTGkk1D+cTZlncQeaQPlKv
YzxNLmXUxaFxB2w/HX0fXDPFcCEjV17SLrV+cAI2l9rIGXPjhm88pawLLq01KZJxwSsu8ejFtnoX
qypzy6pLKIuhTW1C428yayeLoNt5tZJPTTllx7mT/YHMkXhyJtfd9YPdfEhWDyYQ8T55o2yt+5iK
YkFqpVdiGXh48tIEpwi6EHW1g7/HIDWvBpAaYUJFDZyuxn1llh5fhj4prpgeXRyjdkWDYlktK/aI
9w4/00e7sPlmFp+cmD1+1XlK0VqyJMfYHEARW/yqn6IgdB1n2GA30vj3S8OiS1Fam8K9pQ+jmE7C
2bgzUpxr9AQB4OJiQVWpRhPOLbxwdiLQeJaUj61ZB97VI62/CQobHxFdz2eTfbLdLH5oKrjJNVD9
PeHd7Bg0dDsHXfVtktl7U4/nZU4M5Ozkkwq69ODp5lxQKcH2dNIEqabvLcOPz2cY1sB87oP5R6Xp
O0rgJj3+d1c0ccCY1H39H0XN9ftn8/5v7+Xnv13e1Xvzb/t3MiDJX0XO//gqv3VO54+bwkk48h9i
5o2u8VvntP/4B1uW/jOIB7ZP+vzfcTfmH44DL/imZv5N5zT/gMEDUJIKNP8W87b+FdrN3wPVoFUk
SK7gRrshbG/+DUOTpp3NSZZHm7FOIU1iKnTjrdXaawof/28Amr+HxglvExYHPONx8kD/+dufpZCN
qlq0EbfUasuKEVlP7yEcbstKUA+i3zhtWfh9DxzU++WeWdYMY+c1VzYfnuk00eyNBLj/iyT9X3B4
/jfMzJ/flcOoAzUNdN6N8/xXnTcicxzIQkebmtoP0lWHHCcqso23tVSzITxLvKrAfiK3PmpJQE0M
MS0oLYqDjOpFu/7Hx+rjn0Eg7T9f879yHviOALH4GIokPxNh/u07KmKvNtAvo0279PHOTt2DIhL3
5AZWdD/FsbmqhZHf1/mAoX6Sy5G9B3eHRbDaJJnOqrH8YTSleIw6Kz854MFPrpscaq/k1tI3YOjG
H970kYP5gttFNKA8y4FFN0MhyZQZR41Ndxqbno3TmuB2cXWTfrmFdeExhKUtziao4oDGhdot12nu
noOs3xI9OKIYIXc9LXT42spdu3R2CX/eGCBJx564u2kflaQtXFd3rbT3FNkBA3ydC+OAa5Zmhp9G
eZIeMoQ7Osca8cN291nAs3v4PvQZ1iwGxbCevIPbAdbrCQKxE0f2dVC1CphNq049LpRCeOmFlEBI
Lif0xbwpKAIQccdBHBHAz+HbjFeSS0fEgO1Enk1mDGJ90d2SDcxzI/5w21uzywgNRsPebc4D177W
oWiIWnKXPxPDPVvKLcQBRpnvgO+OaSFCr8wOVi5Wfd6vuHvigMtDJro9YcNQ5Vz7eR/1AVFi1Lyq
EY/8PFep4ez7ThZw8G4WngmZtSG3/TP27m2IN3jCqRiAxmPgQjcDgH58Mgd/Y6ZFaCTXbKz2RnOZ
a4/kaPxO8mjjuj/1VP1oWzIpyIc+DjMV3LeY+IP5IWnKvU/RV+Gz4cNOqKK2v5iBqK9JR4jVK4wz
GHu80D0x3Dodn+xloj5J8dayuyh4iAq3+lAOtQaruuZFKwbKcqBI51+EtuJHe1HVe+Ak3q3E6fah
icjS0hd28Eb36lm9/Swzezi08GffxqGku80J1G4cCftgLQSkjw0C4xoNWyuLS4le2Znl0nIk+uLq
U/a8tWTrEVlbuCqW4zSTkqvl9C6g5O0h2bIznPSgzjH2mjunB+3ftPKxWQbvqbMLvf1/cvydk48G
Esuv7n/eVoUfFbvHRMXdn4T3//in/48QcOjxFk/2f772O703JVC47P0/HYr/+F2/T0T/D3FDZIJa
C3jQ/Xnu/T4R3T/Y9oEBdyyTp+CfbP3fJ6Ll/+HiJeXc8/kGPM9hKfh79QdcX3g2Swn+jcsveIb/
CwT9v6NvJBwVECPS4bCCru3f/v1fyDOyFUbtYeTYgCbaz6CoAEr+oklwC5ltbUTdI7PIL+12zeov
r9J/cRL5fxLN/tODnz2obQns35LloH3j4v31T1axcBa55AiB7OrZHnl0jYD7xCsrqIM52ObiUnDJ
xpRJKTGWp6kFHclGPV6Ij7X1LwpS8djwQYFAUHL3f638uToRxLEr9lOzS6WPElxFceX4D26up5Yu
kyHeOiKChtCQOF/k4B0N1cktjGnskOWMlSbHW8VB09yPNOStpeN8pCbpNGztlPs59HDQw7LydMl5
XjAeKXMjDUBbXTyhrk9Nym3e4oSZJupxrMpAtIFjdvFa4xZ9mVLMIn76TQU+fx7KfbujjK54nAWd
3HV6lzppe85qXoopWKwlZBM3T5xWCb95nDFwEI0bPhxpuM8dUNmWVZul7lk7NHei5KHM2iNa2TLB
oFHbhCogyFBRnqfqJSF7/CTFQDHnEte0HVU7i4jn41xpdx1RjPXamdSS0NvhGtt5Qalj0Wr496PR
dr+iyQ4mLHkBc7NKu+Czq0fqmecRiKVqAvOZ4quWX9q8x9YRsP2nttIRJj53vj3ibIAHKwbvceeb
fnyyaXs9jeTJkGSx2zqGkBdWMu69yRQSb+xsFg/ayLxQuq15l7QTunw9lQ+T4lEaLjxvsPpovDfA
VVh2INOUu8rtp7sh9bstlmXqC5ijtmnSLadyGupnZCSPbp66NdTaY/PzYk8GukxHH+zKy8ba2BFT
DaoHZd8622M3Y6eVz31Hc1api9Bt64D6VGw7e26qSR2SWl9eitwmLr6KbhAknIpWB3gcG9Q9/93I
w5xOti9heMLcABEuIS51wUMsRyz75mAoEfakOkMBUeXQtwMYBr+sUlCIA6rjqsVFAMLGI6NWKQQg
MePb3izIhNFaDrQTYR3x4R01LXmbCgfIISpaj0xMJepz38fdD13avJEybb6SB2E323n1B69M8tRm
ZXAPPLfMVnrmVrRJ3D5+xbhDg0/SJ2pr451zGRat4YGUNX8K8FxrD9Y96MI599wfKGKc7ksqpzBy
B/BQyZCiXMRMYBturvYWl9h8tavFeSotP9Pr0bK7heCzJr2+BMP0AahFQk9VY02XgBX8aP0q/t4k
vHob128qgtx5Bk8lwD82dKyFvL63pk1Pmet7UXXtM5ofZT822Y53naS6XNXQE9cWG0URShKQJl5V
bX0ZrHyucVcXL8T2okfaFb3Xss9ZGuB1owaIdRXpfXYLeGWtIas3PcfqtZLa3bRzD/NLQSzi7pvK
rF23Tl842yT2u5TXPQc5JCfPXqmYDsBNzPCys+gPaUL8aRZUSzIvs8fMvovZRT8146AnbtNmfloy
SrdukS6eIhkxshHRaTTu53rGTW1lfvaSzgYNbqZJ8gYTgFd9mJT6IQoIp9gv2sCHBsXCm3kS2h69
Owl/H9nfouRUQaUPRpHHD3bnscxqgPNiDS6t8TEh6f3Cj5Rkby0LdES/lpvIlc1VsfJau7U7woER
xWNuARFY6lbShsVO4xWkN329E48hitVc+YOHOT9REqe0PbaeBcoBm6EBpGdQKe1wU92xeiGke7Nl
jJ0TdhPfqUG4sVdyZvHpp/+Lu/NachxJs/SrzAMsxgCH9Js1GxKUoRha3MAiIiOglQMO9fT7sapt
OyurpmvbbK72oi/aMitJgiD8F+d8Rxpra6h4LAxRRI5KbizDNTPh8akwFcuxBQsrm81BIhMwkau8
kveLGiNGYILxxDKIekGIn11lEn+64QbNYzBPeBC6aPCDTYTb5mXEqPGjjRfMRGVyVkemwD3RcQP2
ZzNSJAv5sIGa44MV4dhjdGDn10ggzeRUm2AdNkjZ7GM9eHGy6wq7l8fZOOcyzNri14UEIUVKTZbR
+xipib13HKlug3Qm2nYV8vfV2PmYuGzmsyGpejFwPLsyGCL3mWIjhiYYb3htlDnkE+zDmDfJq/Vm
l5AZmiQ8ECRQ6kvVNSX/SbAcJUxiQg2D6Io7Sb35gCSujFz5T+hUy+OADeViQfNlcM55xZ4sBU7Q
vNLzcxlYPPTiIB2vAQEG1abMeVIvVQ7seCZiuKVsdfwfdeV591OOZSNFtITRAqUdC3/tq++ZzM9b
5dnE5KagmzaDKcfroBwtrPD4gkiHLJ+rOj6zMYI6XWc+xw4ZjXEOFn65KEWFC8AncBbYCqwQ3vk7
dI9rgmOjlfZNl5BIyq+POHKLaydi07vRiAKRHlJTQ15pXN/cR/GMmAWrfPRuxjPacs1WYr6svbmw
VoE3JM9Qh0y+6KBIM+R4UwDHhRgTNszJ/GIvtvfA47c5TeiSd7E5za815/OlJ+IJxkEhitdST4TV
ot2gjo9Nb8HIkPkpraC2WprBOacv9wxTvY3a7U/omthYTpE4mX4HfWMejXUQpcujyw/pkzaSZW2P
eXZ7zksQqPWbdVBjTFopMBc/FhwFzFbbznfXEpU35mBaw9uUUf89Sdz6oE2RF5ctkuRXVyfJ95Kz
aluzrkfKbeGr5MJlyUIUXQ+wlOZ3cs7qgjgKXmac5O+cLuktmspk4rEFdYEGS6ulCOu+MXqTbVLu
37A2rts1Ul1nQt9ZYWg2bEXwj9JuOBF7yI8AtSNbr+y9FTK6rof6GUM4snEF4C3JrBqkezcnWwqD
lhTs3iDNbU4cD6munYxEFboFad+RQ8ecTOBXSq4EUo2ZdJPGsBmWi+CzFb19USUM1llCMXlg2yu7
PeNk71I71mvrRe1jPtnOR5ALWUDb4zbbSNGBl7EERQJeR7//DjwjI4Vd+4PeOKkb3Jm2x3BcD/bM
kB8LcRcmk874dSIwY2882mw1gqHUgF6QGyE6hXtQs7JznOexb7mjSpz3FEJnvZCD5J30C7MD+rEE
HJcc8Na3yjEy8pwu4hfaS3YAhnYmkgjBmoTmXA5oHODcrrAds47IiR46pm1qfESp0sEqBSfFvBRW
2rpx8/7NbgGxrAqdGm+xgZZkbXdzBn/D5ikgRUkWmgWN4L4KGtAf8dBQmzjWMj6O+ciScYZO0x3m
CL/QilsAd0+esRy4ImnEvjNJgw22xeiNxSpdilYhbQDN0HvC/8E0HFMhggJkHEWo2kau7d7ytiB1
kmc2Smd0x0LFpggIXeWgJVaDOSus+kxMzkmDC0Jpy/icrbh5ZYZFcDLCH8cQyCiWYBX3Qbl1Usgs
0AWBlS0NL9bE4kZn7N9jz03CEmwOe7c5LNOp2sfSnTIcQoFzmzUsFEY26FvRqWLjy8jhyB2i0xy5
iPh9LBLbQJWfchHWM3ei/T2mbJLVgOJppWpfnnyt1GWWTCPAtKzw7xZrTuuN2cvk3kDCdSX0yPXj
R/E0OSOPq8KGlbcjJnR+jpyge+gUg/8wXdxpDrUXd9YKJZr+Rs6vP50EAdKqDrqkJOsiIri6pLv5
tgPQPesFUe2D0zDOX9WdcPCE2KQmCQMmWSy4CxEMjlUSWnpGYmBg/WqWtrwfFx4qq6aKGh3iBcDt
F1UxdsGo7yex1449BeGcT/PR4Uak6C3KgT6Ak9bMExhnroNYnWOsaovrkmq+DPMlG8wDcX+KFaCX
3jdEYt7VMyqqxcdlDKjlPHRvwWaOIiCyQ2Y2MK5Wjyb5mx50lCIaOO/nFNWEn3jyoY6GxYYfOVMJ
clAWLVqjAZFmbbUFgmW8miBSmpYKiR0Ql9Z36kerL8stON4cXHTemOSbk5Cy6TtiE5mudMXzrAPZ
QcfRyVfuxzhJWz+iKqrYwpJj75k4dGJma0+mtouHsTODH8hY6j2b5YklbspvtKIzrkEYqew9w0lo
bmlj3RvyfGdrZRtVIVfYwa0LBpiUh5JwQqYnVRDY4TBGDg8HB0cTx3Dd3uJ0zwaCErkNcUNin/e0
QZvTOco8CT9trYsiUP2wnZVjPviVsvFyFl/VAjSd/NQgwZNg+Yx+htLI4r3rxdbRUwgX6n6ghEx6
1KxH1ufmMVK4hXksu/mhz0hF6RDFY+jKkXOyuabNG6Ym26Wg4g+sJqHaGHX2A8uHqVa2n1oXdMnu
LSSYCysgfXxs60PJQux6SnJINF4Z9jRfm9oe0XM7xS6tsaQJi2nyKLybjh/ATQpEHJt7z4y3AJ5F
EKwMVT10CYzQPj+Ho9NYELMYwkXUK/zqJug+le6q1qpuYQiUp3JWICstqkYQS7OKeJnZKS7ryko3
Bl6tsyqQ4mJiZUh4Tceou9jDYrPWGfVl3OXjqfKU+WRWJfHDjonNBoHAMwosPPip8O4GD5UYs9Z5
Sx7tjZ8Y0xgKV3ughyZ5wLbKTHMEFjPwhGJPJqM2vbAsZrkkiwbLxlRFdQ3cQh6XAejBuo4k4BQe
3l9Bx1IfMMY38Kf8FA/oLfuhkq+1MQRHH9PciyBT4kfAAbr2uUBQqmv+iqMxCTYEvcI8Iy/DOC2e
TYLzZBOAy5HcNQ+l6k1EkxGymZEEzAe7TLCfRZVeDdJo9j55wI84FvK3SJvLiENpNr4H7VfdG8rb
0qcASAexraLARHCYwSbiSSqmsD+z2A6pboofBlIc0pESKsshkRxgGUIoqgEW0+O2GKgm8yyQjFfx
426toGU47Y4DPc5ZbAJtj/UpbSaVQpifz0xoMSmJvQ2cOdgGaCJDaqTu2Pz22Ol5a6+95+BjA6ga
meE0GdwUA1m67t4taROge9vgmUTdsXVsfI3j2K4s762H0vHVuKmIQkfIfA6DLpAHOchJ7qFHdvEa
KhBF9GgX3lcQY2ZKmeRcdONZ35ehIlubZkJhqq0MdkPpAJ914jaFXeTU+17b9p3TmwiV4sDkkRgF
GKSJB48hqTYdSr209Gd3l+JfadZZUQ1i5Q3CvNSqwYjbD1RPfZCoeVsbU/+JiyXof1/3/E8bHv6/
m4/iAmKnxiBPOBb+AYygbPX++2npX+8T/+O/WDCG7+V79duqMUz1z8PUv3yJfy4bzymi3Nyua5JK
zAzxH6NV8z8Dn+RM97zhpDENWCv9c9now3IWkj/gbaPF+L+jVbI1TAe3K1kYzm//5L81WrXsMxj6
5xEns1XbESZiLtIvXF/+sttCn4WhDwcbfemjnhlsPFjbeJvYayr4M4cjI0Nha3Z39iPx2/jVluyx
a1OWFc8MeAivobcYnLWZl28yGsI8QYfLEBNnRaB2QxOsULwdkuDjTANOmphE+vRZj2/oy3gaKw9P
5z0UibOk8MZO1NY2jk3wrdCJnjHCg7iOfyQVQzqXpE+yDUbEl3oded/EDDAGFMSusc/wMAYDWyNC
5Hooq/Dc75CbvCu9nDkIk7mJOh9uLvkeapudEaCY9jiT0EqgOKjGD1NWj11v3pbtQihzDLLUtedm
A8MZ2MhnX9x4EINhAuX9CkM5bFS0H6iTMZuNvjhZWYbwdDnYttqas9gbDtYP9K5rr0QCaiFxapqb
ThNg1MaEDFI9kqN9KixKmIbjyLDrL1fj/61a59XMDPa9YkO+6KYGMJNF49bp8u3szGvV48X3VIgA
+cpO+1PvMbyN7M/c905TzXul9HBB8oinKZ0fa2PBNSc3scOEmrrVWiWMInnk8K/GSXqKSziELdGC
KydIr1sWYtn0d3kh1plv/od7i9+dyQqb/E7fwQL0y72VDxCEOeTlZlrKR9Ub9dpxuhNB6Ptk9Dau
QOBf+B4WzmpXNDduOe1cy7noYX+GM7aVVdnhWosiefDSYp8b5jbV45YjiBYzsk/2UG+nyb23HVex
KUclZKcXbXVhoiRXDTXIvLWMYFPNDefjcusWCQz0caMseU1EOYrz9NtR7p2bvxpcZogS6xRTJDMi
tJzJWp2F+aMd1ll3GUi2j1N9lrDvm8U8Kfjbg+2cZlNeYsa5wq+wklO5KxOSqZtozS25W+TRsd6Y
ZqOk18fWW9BqIqs3ahw8vj/RPXFX5oRcNUN6GVRXflvsjEgh1Qw+yn7eF4W5jzmU+C2x9M31crlM
/SZgyIBEd1tzepf8g6wL0u5s7DvyuEB8FF9n1YNQ6kqhn+us8aGa3pD/TReM2s+WY8t/xdCsgRAV
LwBZNvijd17GLTJ6Dss8/JG2+mECfaVWnG/imfSIIEJwKRHcXrTMjBtvefvp6foXWxbBmuhPd4nt
S9tEcMHK1DmrFH5a7/zT+Idz5Ss29HPE5YuU9daqhB20Olq+umuj/HrRw03cqQN5HdcpxlQrB0GL
MuySnLUszLrmoBZ5kwiQD2l/x+HOxLfHsUP0YQNU8l+/baREv7xvVAE+9zcPcA4YbG6/qCc6RIzN
YLHhbcGhoue3j1HOG3br9YSPgmkKRvgiCXY9z0UUVXsD5daqtfQ7SoapqXZtUjA3Nhj1qXZk6uf7
3LOxIMsxPbu3mR57BcaC4Z4H684uplOa6fvGsB4Xm2gxJX5gXrkvnbPHIiA5JVE91pGcF/b6ejOR
Q8vUW3ybOsE80/fGJVLS/mzrwMfTjHfJMJzGQF/AwI0BSlYsaaNs63nyrfUZD9v58OBZxQ191LLS
bvMNqwo1s908jL3xLZlOr4PU+/aM4h4/6ku5pDs1dMXWtb4R1u0S9GZnhnIat6B9HVRqkkwG9wkU
xc4ORgmw92NMjMNMJAL0uw1NbAzAid0XUWruc0WA5ZgmewfeX+n2V6aRnrqe06MxRUgpuQc/mINs
0c+Z6h9bk1qKoeqSt49xioNNgOoeYLwuRk+6Y7tuY3OPTvfeTca9Ccil6rPPyGzuya4+atglHtxR
SJKhlwWnuDIPdTOesDmFogjuS4vhtS69UJtyIy2JohJrS2Ju+eovTavYjPi8ITo9FxNSQl8jimZ8
Nl+Z9WUfLUzp3W0vCY+jb7a6l2y5jzx7nacBHcyFbPJDVkXPbMWz3Xw292a4fDHm7YKcif2IElrZ
PRTnZD313knjVWxV9goiDRDQ2S4sRGESVI+FOPP8/jkr/duahhMRZsssbMSb0Ayn1M0+24J0akN8
p0F5iAz57CCJj4z6RxAb20Yv1QrA1WWF/3Ylh/rUt/mecnqb4e8vR+8uj7MLB9E/xjOAS4s7r7HC
8N/3oaz1tsOHEcVdxcn0Aslmb+MULOGRMeLFQxz1OGiS6iUG/Iww96noA4YC3ou7tA9TqXvMkPrQ
Rv73IuwLqLTeZsSbByE5vpgnj31kP8+hioNi4zrLJWmXK1jNN6QsqJ2vzHenW4oN+Jy7GnJwjjyV
QWz/YhY27QcBp+sUkYVy+sdhCY7DGQ9lA4I28kMu3CeP5QCeO1qFJHuwOg+rh4blNH2wGyCvtypC
izgDY5zCyTRPJYF+8MWeSiwfAWA55bCs1MZVnL8uEOZgw61llFx3Q3prY/qZududrPleUjJ+uWLT
JO+n2X4Wbbqre4h3VguQ62PIg2+5mG9TPLGbnLaWlp8ZmhK6hYFBhHsXyS/Itfj6N45xrYLrxrp2
7ZtK32VDelJGGRKphOaaHEtEx1nwSJLCOqfqqJd+XbGXHpopFNlXDpSlGoMNlF5fPoxM79LJYe36
DV82tMSrju/9GNtGABLUuTXO1p4OUYwW3C7GVWbeQURrVslyabIz9We4cJxRKdBq5W9dp9zkTA1l
dt7I3FjjJwKWdQmZr2ei6M38rnPxgteznEb6emTveBl4VsLWEDntnxvG6ceIv6zU3xNUTGjnH5Nt
F1tIqR9GA3xExfs8tX4MI043LVF25mS+zm0e4xSg/QZg1Ms6OIB+9lfGILswiMundDbizSRm54eh
BENVAyq0jSFxrJcLV1UPSYyomMiOsznxtSZUrs6Xh2XK8O/1/nqAj0hDaKP16vNiUxVsJ3yv0kxn
qs9aL7tg8fc9sRSEtKm1GVBOxcl0j/uBaYuJewH6SZmN7z3ORk24A2gjLMjntbDnf5TDcJRj8hXM
+kFCSF2TIbI/T0bDuqM0kVFJ4rBvolE1yI8d+ocCzmxjlRsK9cu6sb/hz6wzaxf33tFxavTH6ood
MU9f54qMhut57neB3YrQwX+3Vc7MNJptdji2Mg17VxnMjtBTFDkj0P/1z+yYxpWnHHc+Jh39kJrl
i1qAVZR1wtqsw6SQWEeuTYpyHSOkaCJI977fI7PSemUaOK5hpN7/dsz+DzStf1DvdP/7NzUPqc7n
+MM//J/Nb1GIt/pLzXdfnS5+V/r842/+v/7hPwIVH+aGQMX3H2VahWlHFutn/3MbiDzwrGb873vL
56+u/4/VVxW/F3/x3/3eMEoaPI9MQMdElemQ4kXV/HvDGLj/GQiJcpVyg2rpZy2O8JG0UmpLE162
+IMWR6DFAfgrAp/uM3B959+y4f8qT/VkYEuUdrZ71vz8qaT3zw70guy6nUp0vm2Zj62GGLsh0T8B
doL58NPl+Yvi8E8tBK/nWNSuvs8VkXyQPxaHmcCJiFTWx0fQxbtY5NmXw3l3O1hVs8GPO4ZltHTs
3PhbTJ/nIQAtkrj6aWH0tx4HYT/mIGKH8G/eFyODPxSt5/clkII4pkvKGGKnP74vGqfUyeYy2I2i
eOsB14XWiJ3fZwgleuco5QJopaAljNKCldR85Spt/pshZ+f3YDPSME3hWbZwf3kPecAOasp0sGvS
CbdZ3sGotNL64V9/1L/4xh0+qksKoaRKl+c//6k897nI7POyANscA7Z8JJ3AT/cjbIEVQ7Pxby6s
8+frim+DT+P4QB64kf74akooyyRyXu5khRdwCrBAYHMXf/Mqvw49uHLMT37L5ja5h8Uvd5WIcqsd
3cjfuURrwGAgGAGP/N1Qpp//9sVj8EM0N22NG8DA+OPHYUnFFT3fvhGwghXjd7ZBCzlkdnXC2P83
2Wl/8U0xPz+r1Gl56Ut+ebFJsyzwO8ffAQY2cdqSf54MIg+h8pH7nnn7f/3ZxPm7+Lm9P19FYQUk
VPJE4Dn1y3eVWoGzKD9mbG04MBCHWgKdicy7Ai/ooS6TPGyq1tsm/Sj2S52dnZRl9OEVGHjGamrv
spwiDlreENq5B1vJdNtm7dlBEbruspx60ZRNGCSVbA8aHPraLkvYz6pZ0KXUYzuum36xQu1maNnM
DGFpWaq/0X5bf/E7l670UHEgc/zz/TiiXRlxEJLaVCXikLlGcJgH11z7g/tonLv3LOqwzsTfvg3a
zhG5eBhjJ/ibS/1X96vkyc3UD9GB/Sv6BCy6U7lRIXdFoZ0DITLXlenhoWcevf7XX+qfXwlBJ+cH
ToYAxeWv3ylp7N0oM0kyJhgCGllWashJ3jrkQ5t//UrcmX++YaXJ6BGlmOPY/u9//tOjpS0t2/AF
ew9HkmCbD0a6VzzxT8L0pjvP4EYQbf8Qs6Mmd6PH5YZmCQs44AX0FvU07iUQcxonH3lUp13vXkM/
f3eHNtiPXobY2271fC+73rns+6G+yBOgwZXClEkxhSF1WxAOvm5RUazN0tcHU86AG9AJbKWq5h3J
HG2oFOBl21XS4i+atD0uCrZoN/bgymJCI650krmEY1kTk76k8/AOTyJE6JPeRGaZveOlKw/OIMeN
WZB0ga0b4/nQ+oe87f0X4L3OzSj44EtH5LYRmdhwpfKOgSmiKwsnn8x7e1OglDjb3NW6Ky1SCSbd
PDgkhb0IXTXv8JTZaSfo6VbJ3EZrciDh0VXDfPZDF/vU7LN7w2zam8AskZ9PfgOwnog0zAqj3b40
0xBdAeKLnhJJGz/QW30iApxQBZn2a25kz1UhGBvmRu1BZsehhQXq2i+TsDXTve0Y5R52HF2IGmJx
h92EZQchKcGFCefzZhlgksZ96+EdV/mOj4PcZEDzGhUtiMozQO041CnKVJ5S86XUki8TQsuZcici
iDnaoGMq2nH4omTimow2mUv4+vHJa+u67SMaEtcWNJHA/QGcVMMT3p6sDUu36bxVpEz5RNk2Q1Kr
ZP8YFKUDsMWEddi2oA8910HM4pWbujUjtjRxwACvXTj60emjCQFk6tT6rPFP9yKGRFkFfN+iG7h8
g9G575GXs+jhu+UhNLBkdBrXfU2Yt134UjivdtLChQlYht8McYvhmFgEXifQJulTPDzInKI+ZxKe
l6N8Gju3L57ofSo2WiZ9u5vxGfzI5Y6XQ9bdF5BJOjRjIxxNSpxjCXmoQIP9vcT2jJCYzXMcmj3h
HLtANMQDZLmeLwVq0ePi9V7NTovcTNAWEG+jCbzJQoGDvkyUH57tQq2E3IWXxFHMbWRJKmNMiMMQ
mdOVBzg/XcGWl7ua6TI9T16WYVBF17me2CrbNSusqaKPBsyIdHmFDhHiRik8RgEG+N5L2nSEL1Z7
JF9AXcR9Vd5jfemZhswMxPzkQZhy2qQpHOqO97YfGZZuIXjLfeBCe2nrCb20N3F/FAs0z1VSaG/r
g7d4GuzAv7Dn9qu2MNammo2wQj3GSkISYYSPuT0YFjmBiHHEGscD/ae1uOMO+iIjlSLn6kMfuwo0
+PFkmpNDUqmAz4r6ye7S8h0zbsZk1Rr3ga2iHwBm3Yid5jjeDpnZhAVf8T20RHMPUpOJ0DwkO2Pi
FKYUVZ+woPpbQo3mvRyNcqc6EmRa8hG2gYmwoRT4igcKxGlh9o0JNCNrRY8rpTOH5v0Y4zW/6Oqg
7dflQphN18XBOsqix3genItWoa0mxEZcMK+W72ng2aAHXFq7OLYZLEZKU5WraC9MfC9JSfM2uYBm
XCjYxzQHA+U1FMelcBPCi4eXIMANH9Qm8ZcuAqVRa71X0VJdkTl5lq054xLWRLIhklEwUnyjYEei
szqcSgpv212uO7tNNsjTlnvR+t1Vs+TpBwuJkgZRZBhQIJy0bT6duqEeDyQTRy/khzHlzhf5iKx1
2UxqNkJo+8tVLLMXjUNsV5MPeVb1IM3wTlFR3plmXhzKpPQOo7ZzZgkZQA6UrAV0721te+NXNVa9
WOVNjjk10Ib1MsnWvnKK7mqMEuYDTQYAYDTntXBmixAY24lRnCbkDRZ+HrpFPW5rRxI/akE9ySww
Y4tSwx0RgVVKQ42QmdwW5ESV8Q1fdlWOvvtAkbTgpWI15Nb8lD3L3FmWR+DxWFtXkO7BbalLOyO2
xbeMBhmpUDAiqnerrhHl8sltlkRpjBwTM8OEdhVtWMpmDmgNSkY92tftqKO7ygRj4KM6vGCvc+XU
QxXKwICUbHvTdhx1+4amIFj7MzI4b15O2GPxBYzAlZlTjt5L5SfThkSdeeszVbfXAc62lE2XMVJW
zVXzSF023QoQrPvCs6OdImNmbfGwuU5LiOxWa8j7hM/7qgDwEDQ4FeqMAC7BQHRLm02oADV8HL+t
I3ODfTsfCEziigC6WfxTgUe34LRa1POQqO5DGAIrVIs9QB/ibJ4CLIUlY7lu+Z5FWsF98nL2bPq9
BIJ74J8j/zQgLTRzlLO2XAlmdS7uePaHJg8fcAFmu1uyLloLW+avuDXboyAya2XphSzUeSQqD9Yk
aCpM9rhN+BmP6kItEVqOwnkaRGqG4Boe7YIgWZtD/uQZNRCrJcrItcCl7K9A7HPn5h1pqL7T3uMM
vfdTfOQ1OUQr2S/mvu+gUsDtJQyr1Sgm4TvylNdVu/NcbooB3/wOoIS345Fi4LkHq4hkBB9cX4oT
goo0rMykwsDvdJuWHJMI4coFsp4zSEXW3xxI6SYDr7xfPHN4jPG/gqae3PFLFRAm8OLDuMzUGcCz
SNCahYuJzgjqfVCQGYgc7bsWApATE6l725LtVplnJxre5nlxoU9LGy0YPIfhCcZA/O0uOVmQfDc3
bTCbxFu1kEFhMt8tbgHPuox+KNnqa7hl8bYgOfHokYuNhjDT+X4azOmM9YAzCoh805fmbQuVfd3Z
idguwQCHKEJxSPJWXB2hpMNtmoS5tWzdryaRLVsIpPmFM6cY0vpSp+N6yuG0azeqP8Ukioszarjf
Vj1XRHpZsYsqaR2cpIbqlXgXuaNfZmKdrqZ6up6Kuvvhsve8hEKPvQTOwJre8FrbdbeRUde924SL
7UqzHQ6lO+/y2niqSFLOzwLBeNNWUXWs4R2xNJviMNZe+Th1U38t/bHemRyC+4kckmou1aNDosyq
ghQdwqZWP9pqXDi5KQrwzaJChhs9ho3g2QwxNYZMB7EdwTlxbmaDy6IURs6cuqhDBhnDaUrUc0NY
AWFU+jIRQ7EmFWJTJzy3lx5LQKHJRqmnAPFNvewGSfrR2UDQLY1/JRYL8yRpBLcU9qxJ4ywK0VA1
hHlgAwMHUz0RTgM9w8f+kZuflZfu9Wj1h0IjRyO9Qezt2o9hgg2cwkAA9n3qLruCpBwt/W1Xu+Rr
ejMIJWKegqOspywUaKP3iOKGiel0q7FJ0EKF52jlHaU8AT+xjIm+yKJdMsgUtr6BMLJ0P/vWjV78
EsxEw6LDHAmxX7Jl3zft49x3waob5mNv6KcgE8MpAQ3BpX2VPTlmdmKQL4hlxs6vQELexwMnFJjW
GwRwX3H+pUZyAts0ZUqZxg+9pxOg4c2xcf3L1EWqLhYIMajALwtlXCruoEuC7PNdNNrBZz352TZm
p8gptUbmOuxswlmfF/sHo7hiG4iWZNoR92cBhplNGaEMQdmlD7omXgc9IYii4ImwJ/7XvudN9DbV
8NSt4hU1Rn8BDgjZa6FAc5TJYyIkEqbygfi310q0h6YncpkY0mvby3nvYqhXXjOgQR9m0A0Z619h
6CxEmYeKrxXw9Md2C5/4LuNXdSAgDlGvyeR5Do2AxDSDKXiPcDtssyTaeyy2bioZuxg7/O6rLwrJ
0Mw95JFRHiX5UtshAgxWjtFHbrPT8mj3H/rWAS1Ok89PFk/UZ7JYzbbEFwAIzN1isyqOc85OSkRj
ci6lvHbj2Ji8EpIHYb4TBBtYEsp9VV0JB5lHV7HUJtYLeS+gG1LpaBG6Mc3p6g1qGD5wJpCSTvBp
2Evgbl5qvm/6VnDZhn8PLvrGscd07Qn1NpTLtuup81l7kPqYC9g/Ec/8hqjL1pZ3yWJfkXj4TMjM
NZmQzoo0Q8wHBsimzC/UIUmWhkO/ejR7ZwLiZq8E+T8vmQX9xPIzPBr1h284zxhjWS0qzuy56fjS
VP7UCFuf5mIonyaGoex73GKvxtjaOwuBVA06/1XTdtl7ylZyR6JSySOlzo5+hXASx4ARkoNGbeur
t8rSw87xPD4pSc5sEIYb14Kdk5Q2oUZ2ob/9ObFv0nqiuvPYkcy4cLaGRIsz5+ZVRc+yzeh/jpB0
KY7YgLlCnRR5Lyu3CdqXpDHcXUX8444Ry32r43obNe3aHeLrgPLwpmvJpZ54dmwcGXlXtRQkP0Bj
SXeppdrrRZgVEtQp35oezXFQkYiVZ8tGB5B6RapwkkW9XPujNz2Qe0TrUjXUkgqdZlzjE5r4UEfW
5YDCJ75SYelmLxJDs98eTeIDEvMQk1d8hENQzUu28apaXJlgp5Bm6oyEs8B5Inraewom9ws9rgiF
qHAwFbb5XAwFWTFWZtw3zcB6mXv7BBnNu5pTG8mdbRu7pk+G3VROCcQz2V27uitZq+G795PEX5kt
iyYwPC2fsbM6/xGfG+L5GMqziecIzxszvnVhd4CYdNLoQ1eiL8ba8Tq3lIoxE69PgF741Vprxr5J
KdTTIu9k5trMqvGR55mp915buWGGpeXYqH5+hTIT0jCBGufnuzU7LBYYE+zNmLljqMqYvT+RaVSL
eXMk03MIq867TRhErYeSbxzYmdyLwYUOzSwlB0QCBh4XwpUzKaQSJqsrOU5byQ+dXqpUF3Cphg35
wNSV2LWuiOWmwK0KsIy5RVrbgju8QXWx0xN2FJjz7gWvQyJEmsNmcgX4PiSgxyiQETOXug3tlGqe
Buweu6X9lleZtfamHnKiPb5YOcgoMlSv2imJnot0+UE7ru7k2IJiQU2j18TywMvK1XBhmN2jEO4z
L9sdKyUPCejdTZdQDnfOjP4pYuQmpg69C+Lw5FqYBrOhSnX2ptQms6DSsJg6ph5+IoCqFbHMW3j/
RG7Q9DnPOlZWyC3YPA8Zx3SUI54NKk3sRlLTW82ZV90yq6geG2OUayWT5h37hX2XDiki65bYqmSm
NVx5S6pYkskPhO7yjnkcbBjDJhDAaUisw3iw7lH1MWDS6FK6Sl1WdZtvPDnlh2GqGIm2kbdpSeHb
GcDB100XVGinrfQ4JzNrfVfV/iqwavRY1fIGJxQVEBrSF3KnJrLfMsWEw/vwpxoJNOZiCDhWvOlK
u7kpbFwf+TCnl+hK8RlJOztw+93C/YDNo6r/w96ZLDmOrFf6XbRulGFyd2ChDUlwZjAy5qwNLIdI
zPPgAJ5eH7KltnvrSroms1619a6sMjIjggTd/+Gc70TNcYqc+BqNJfa5qkou9kj0NBRCJqqXfBpy
UmcGZ/wyp6b7c0w1sTzGks2HUSsSuBy5qA8L8H4WuFpNImgBTPyqeMgUOVBzWl/jqJ9floJAARIG
jDYMgBv1QCdgyn9oKQYEf5pOb+mXFxMaxaEec27HmYgitibPqRw4M/02+1GETbxPPWul5kxRYJaS
jXZXi9cwKy9ZP2LvstozNk9sDBl3B5/VfLmVLWq3VHkOvwUQx2ETlw2SWpVXb3yj9hVuVvUB6ti5
W1XxALgx26dlra4iJtwlt3TMMef15VeIKM65F4UNDFpV8w5qbni0RDi+6mZenrNwbF4SIJQ3s/DN
QBuo1E3CZAlYT5myd3mdH63aR2Leq2QgzzFcJEx6dCOqMLl/jSr3VospWRuRWmF1CnPzhlRXkiz6
Idw3KmKWzmo73BGwbpECPgwEiMgGbQ0ytfqbzHxbrO9J9qI4fx4GdrWfwEUMpBY0k4eBl9q7cn/H
2T6x26cQjTus2CeYGMXBH2NC15lfbmp4JjcN1dCNCFpnkgM9LBwlDCegxX6j0H5qwLAhBy97hL0h
NGabrG4Oaox2dZKiPycO0zfwKBNGJWq05E12ExFmp6zp3hSm1xg4lmPQIOD6krRSR3/0bHR1YR9o
Hw8mia3DEy1lyOe/IN0GbGkwNTU/FU5vHCRUN2KYAsPKzAOjj59kjLgnvNJoLRb9NszxsYHeeGBS
a218LwSaapddAMTc3JQDyK0cYz5cUGD2COqbs+MlTxKCX1CxfA9dk9wTnhY8skyFA6Y6w011qf0d
KWUS7oq0KBBBmbM6QPzCk4pcqL+4qh0OSgkDW0eL40Omo38YZrt+Z/xRfym9rn+KtNejdfDSO688
fTGju701tupOLae35G15+4JP347sis8+jtojJvrpLkDnEnDi5+F3ZrBU+MzL60vpRD2ZeZx5kP86
EAz7ISuNDDJiU6dbNBA94iDXxHhsWuGC/1ZPrB0LUeK76Zzaf+UuJSgLsRbTLIGYjyFuFbbLCdRb
TQ5qYbJS9XpogZUqbj3hSK+ZHAlXir3m2kUI2ENz3biEuL9mVAoAWyEBE3jPya+7J4HN+lDUlnln
LKL4pzuf8UXHRE8oNTFEp5bFdjs1NnCcjGM6ts0Nm55pW7blTtTueA/zfNd3iGq1kwZ0QMQ/tfWv
YWlfy37ykRxrdF5dNKdqE5VdsVPW8gGt7B18J2oDQhf3EHd3JEVjlKtXZe+cJOeoYibEQucU5Ynx
1mkj2fkJs0vG7mDIYuBhoEx3RRGv7Fu6riYS6RE2Bs0s+b0MXuLWOVHBIj5FESqXvdlzK26qzqtJ
06m0D+J39Vi7nYbL4xnxsCA+No0H0MtztTdRzyD2Vfi5EH6LC0VfdbJTWQV9EtfPcpwJFla9JDiJ
RAW21Aw8yJ1eBrt/7JwSqa6r8ISaUU1OUxbRRLZ0K9XOCd32bACg6smgmad95hGkjaa4Jb5VyQ9+
r2XfA2ZfFxXwA5xlxNxMx5I/hmZUMbhZGucnxG+KXqM2wPz5pWWTadms/uT1sMwwJaabzAmdXy5c
GEohRIRETJc51xvzkncxZeqjn2N1ZSNV3XIkAk8sPtVJ2iQdmiKKajzgv/1khqu7TZ93/tcRriKF
jFGUJ5MbzuTZhk/AtJ+hHclsfLbSsSqbnWG51ifhjs7rwEf4LTQRT2UKExPanq64l6j8WDE0qbmg
W3aznw1pfKdwmicA5SIhsQeYKvpzo+PeqeSfM4rku6jT/HuuyCYO0yi6D1PlfgyGg/WkG6LiW0r2
+LmGFzciLfcZQ+TgB8ztVJAH6hPCSAwZ7u1tVbjWtw5/4FG3/QjenczXx8wMmUZ4TRc9GovLbDeG
zx+HyZvZ+f2vqsQaxhIpfIcpW301+OwHBvSobcrLmZ0klSQkk2R5x+kaf5SRzUeTaJP+q90a8htT
YPfPvJs7VEgLEgInwY/dUcIvzqgA4brWuTZclyulSgNsJdMve8EpZzC32Za4BwD3e9hDZ/Iz3gxR
xCcHc/wNPaD/NbWQXJkKw6Q5ewCiGDPjCzP6el9XbYj5Ga8xeWB589UDqXxeqLUpqpccLDoF4Ia4
sC7eR6N44fIqP8dyqB5l2ZoHlg2GsxGijQLKvBT7qfEnCehmhRmWA5n/AlRhRflhjLL0AR0HSiiO
/SZwqrp4ZF2GvH+KmHeJJKcoKe2iJpVEExSTzTmmTBBROWyvLr3Zvc5Prp7XgFz0m6QU1j/RwrEY
rKzeaZBFqXzZELOQvxBsa5q7niC3GweGV+/chHcOXmZbHWiTJ3s72g1ddFVAfwzKJM+os6Wyf1hp
q78wsNaPpC03z2JUiPSbIb+VZpmdFwLcfwHN8W5hX9fXCMM1OU/W6PwSQ08ui52tzFYYG1/XdOKP
tG07hYtTtcSuJs1Qbmft4hIjIABRcAV0GnOX+9KJxiKgtxILpM+wM5+MtnffImK6f5ZR+2aR0b4t
OyqSca6xtyqYLUAzRZM9LoOevxWdT45wy+x0oJ6SnDCM3pdj1zPWEwjpij1tAC/yUI8UGIZEx35O
4wYETdxbJvuGKUwe5qmHdyDYunJGRHhcHUgmlzjl/tqhmOz3eml4dIqSZOetTWrewe4yFtG1Z5i3
sXEn1lblYD+Yw0qQUmgEt0Kq6BsmpzBDPt99uHhV0x2KxviEY7t6inmjvD22VvcVFGw7B2bRqJ+U
RuhV/aSYfxCXpBmu5LBtj7Uq8IuxMSYogKc57Q6hxZ0JlLOb5JbwX/nnADsu3tSU/JcodPSr7Neb
zZf6EC0GU3ujtPxzpObvbZvBWla8KBtaaz4n1Ej8BiwTLAC1VcOVyxx7Yo+jvmLvyH+2kQ4ZWfaC
SKAZqYhlXUXPCJO7wG3lwcGzE+8UE2wbE3XLwsPhD14snF2kks2uVQZ15BRsOixV9YEbJ4zOOgsh
MlbIk8Ibbm/zqDetHYaKBGZ82PxoZ4U5f3Itrn9WN/OFCK58a+pefiwNWweWGDRvRYtcEBt45vxM
89684AItaXCXeU0oLAivzEa5zdN+JquIJRCPZHmCUsOiTLFMe5Q+40x2kAO3SRd2P5a0hvla20b7
nqq42OmRaqKK61/OaPlEj7qw1VBbPerFMYjtdenWQLS2t3kejB27Wnr8OdvjaTI2Btu+A71NFe/o
mutfjTeiy/XJl36MPXGHFJccbAgmL3FRkAdhd8Z0TAsgJXv29jEEB/ebwOr/ZGBR+GFIRjtWuYZW
WNXPQTjpq6NiXBKLrlBmkw/4QWpkeTWiynrI68p4igz7nwkx/lHy4psuKigu7jWCxl3lE3+jWIgz
U9V13HhrT8/ylI75UcmKnNi+BhnPbta8j6BPXs1x5Cr97wUT7n8ml0CCwhYUQxnCm7/oexbbkF7i
T95hllF/92XdHkek4weuRMaoGk4s+mmu1spMx5964UpphwGX85hZGGa6H1ndEQflFQw7azMhvI4F
UzlJZ68p41cHpfVYRhrWm11IBWsDZPCxlW511m663PouIcsaV7wWzAYdlFr5dtDZwrlCBcxdnxNE
PmT2oZgyhP+og3YSq+5maMHAmVqQt05zIPRsPcKu/pGWlbuFy9CDVODATyswMhuaMaRSk+f8k5fO
/gevhu/7zGwxcTg200H1FxFbwaPEy+dSraOhpG8wH113whEzkGBRWkiW9Iw2g/g2bqV5mC9JN8x7
P8foy8PUIGDaETvmq22Bv95b7QABoK3xZFbwD6vJuEzmQL+bZxTATpoewe6qfyLM+UcsJr+CYKHl
rjlL6HNW5dzfPHoJd0k9+q1/MNsaiW7pjwseDGzrF2wOT9Y0yt3I5bydYTKegbkNn2y8hlNrrmo9
Bm4CywQfMVz0Xolu4588m/8gBeOHw8LIc4mFUPxVJAg+wJAW8OBDZjGoYhUZ+SjFy/affBvrH1Bw
vAg+dsX1I8DRbv3lfaxZGLtdWPsH1p8z8fK2Mo5atwMu4Fx+t2ngOSOzmhjOsNyFwyifAKZ3E5mf
TXZBs+Pf89nLkM3wYcETVNzxNZmE8YSLAZ7DfKn7rHv7718a66+SRs5r08L7iXTSxSnm/EWm2eTN
wkCCZ2/sCAuFVQWRCG03kOsQig1zf/fNz+4V6cBfc+ToW/Y/YFbHPD5j+8N3QnjyT5H60/X3z/V/
QVn9d1jE/+fswPhc1/iy/1qkfflsv+Xf/laf/e9/5d8NveoPcq3RjmL5Ig9Nrc8osov+X/9FuaSk
IZkzJaJchw6d2+E/WIn2H8oEZkQ3tJ4+pIv+H0Ov9wc3iQkr0eKR9pUt5f+Elch2+S8fReX7bJEF
wjo8xQ55Ln9/TvhDaugss7LAYdAiQwJBNkMl82Qbd9VwLVNwdqE52BfpLNXRLJyeoWmbcZQUfn2L
iU99dzVgmU3pxekHd4wW+N7L6pRjyyNv0Ms8xcy0L/cRSad3M+6ldxql1Mm1FU31wwV7eyEKyW/P
gymhjbEIG0CvUtIiMlhimQU9YAQm7Emd4mgF6ERkYR79LNFNoScakbDsPIcCnCsF8dRmHqepvGhg
e68m/IYsKGEHXQXZMheE3+1w9mJTvjeLtt9DZXsvXWzoO+4XvD7jSvyTJcT20fLkKiuL2SN6+eCf
beKTHjpUIkxVDRNFDBG87ni2Acow1UM3Y5zlHNvPZglTaZ9lfpLvmP81KIUiy8cvide7ZLYZT+E9
Vt2wBCJeKO3pFZE3dI3O9V2OhequqEL6joWYy31Zk2OjNnHKab0ZoIqY2yQtqIv0VF3twUi6wEzm
9loxghXHKu4cFz3sCtxydTpDYrELB7ELqQ77vp9yDD5Jv+bA+gYFvNR19gON3lKfZmtgeTx3Gd/A
jaT3gUk0vWdG6B95Z9wXyELjcQ7D+QGyl/+IvITtcuKn7RR0nVm90s2jkFrSYgoPkpUci4qJ7ac7
ttMbwavqS9aY8geUAycJBkkTv6Fr5KXxIm+BzsUgNBhEZ783QzK8wwlxx73OXfRuCBDNYcvEoLmk
xVA+swlr8CR6RLdt6t4y9Mmd+hh9GmuPXfyboyD6lakwrHiFdAUtiBW5wNoU+gIOPPlj1cAyBolt
toyMRvVDukIb/BXfEA2WZKIQY6INFzrTLcg2WA9duPgoMteYhOY3DWJQgCHcFRHRqAFzbCFNh6UV
Q1oEAr+JEvo3XWL+TZqYf1MnmH5CoBhGYBTNby4FXKfu3HEfZzu3povbkGqSiI1Zt8Mvaa1sC3RZ
zLeS38wLuLqobewVhRH+pmKYThl+KUYqcdpTqBkQ+PgMskSFpgHyFLJGZAPZaHKZ/Rx+kzdg2hGZ
Doq33QEUBJG20cRYZXQzffHs+zgMO2BEWOBJtkVkwxKlTd/qxX9g0z0F5dBqBcKY6v9i2lDEBiWP
+ax0ejQ7M30rbW0eXHZwgUrw3UV+l0PQggPSTHbYYNLUSt9mv+ytL1bL6r3FKk2X6TAqHzVOOKev
07NLz/ocxeg+GGaMB8yN3XIqWp6UJkvFzRy8hDk55YjmGzgxZSI52vV3FmyIBUckB1uAo8VwRiKU
zauqE8FmM5NTxMofc2C2H1HkMv9qxxQcYZEiNQuNJn7SQym/ZyR+1Ts4PbSaes7L5Y45lr2cxUdm
YDZZS3OnvWhidu9jb/ZO0l+GhZRzIDM3wzDSN3bJxJk3Ti8AlkzurFMKVHtQR6OfOeZBG8SYbKNM
VXsPx+W3amJk23lpAFZoR3XZsLIneLjG3r9VQvDbbv6XIMjRHOqhCbJiqhlZj/3Bquts//8v998+
rn/iwLKE5Dr+r+92KB4xaQGP7befn138d3f877/5v694z/1DSeEr4eNy+jsLlpL8CQp8aRGX7PJF
FKD/ccX7f1iSCtgEdmB5693PfdrH//ovlv0H88+1evcF8AZYHv8DFrL11+t9/RYY8Ve2MoscElH/
/nqXXW6MaNf7fYuIqHuOUei/LMoo6x0SO3l3ybxnJWNVDWEvU7V3EX8HeR+J3d+8bP+JMYu6/q89
FT+GogxihE2TDx3/L+2oKUYJQs3HsG513VuGl3EXSj88jVFhvwxZ4l8nychS4iAMSYavqwEBmm8E
VjqJI/8r2TNzwSXF/uVPEaPCKAHTAbWFVLcrIC4+mv0cnhYbbN2MKPwhThOEE2kj2EA2hv0l7lr6
zMYuTygX2q3RGFhep4joBKNFku0INQdlxLA+NgdW0TY4rn0vRRmk3uxf5JBBd/TtMdumfP2qdZ2s
UxuCL6+M0qYzdB+KxDGOxPiRjbV0vfPNFGZ+E4BZObWanKn/ZDaXSfbbRM7Td8fpl5+sssULuwdE
0rMzgrbQ3SNzRbB4aAAT9ka6+t4rrzsNcmzvsdtbZ7NCxiBjb9hL3+0fIzSXO7e0GYWlzjmv6uNE
pA83rIxeZ9fP8Xq7TIZdRKkf1oByppKm/RpTBOwHtiwYyungFxLAr02Mu5svMQ8T9K9dpeP2yELZ
v0aGo08jfeYOUPu+nCNuQrcZLnNvJA/r7RLUnJ2BGprVn8sUec/FgAyxd+cgErJ/EQ2qZz9Zo2Sj
Jn7OSy0+oLaFAYEALcs00zzWnbPwqzWPrJBnrlRD36IiS18GPRnvWjcjMpVVl+yyQG1BHgQEWKVb
ZyFYrSlSL5BE2nxxC0oMBJfGcNN10Z6TyHF3ADn33aRvbtwcvdK4eA1hAJzjCJZMdVdOitrGpEoj
boDxUoErwhCtIFa6pD11GCJ1nWQUHMOohwy3AxaYbTvmvx3h5YAO8Z7HIYbrAUe7LlocDjAHd3WP
+qXOsv4jIWQTfllfgXmOEA4QWPpdLc0UeGM5PxTMWsmT4nlKeKz2TNWyoOZCW/9L/owQaR80MsF3
phH2msg9zrfIhQvCVs36Yk6O9ThQBdzNmpTLph4nkpy4+4m2vCd53iIDwnlcR33/BVWnRNrpLl/c
PkyDZiGVs3DQ+4woFB6zOSnvAIaiwLETwW2fylPc2O5WxE20awl+2I5AxI6Vruu3vHS4vBNc5mWe
xehFil+OjqPA0n7xAvQczB4Zrjv+DQYmcSOP4+Qv1yme3FMleu9Qsr8InHL2mRPCC9sC2/WDFlMK
pvewxrzvJMcWkHWQQUqdDoqZXrfB+yX2A5YDxREh+awxSN4ZZEmQJFDMZDERpI4mguTOwZnkPekM
52nEP26W3cNULwu77ErcvMqdDytNa+eO0rpFXnz3OWQCxid3c2BuHGtCFcxyuOBQSX7MZDf+orak
QMl7IlX9JYRbps075MHmI+LUPzpDLs/tONa3Urv9aSlHsTeUgk/Hj71u1sKniCXVN7te1ydpL449
KvkfrZs3T5zMHsDSqv3TbgZ2IIrMWQjR4FHrZBjKjaAYz06eK3DjiZbcd5b7M0Is1F87BLYFPMp6
rQhjCkDRwV9/KEdTA3bHfnAbdE0UV2uk+zQaHTJ3PbCfIXqjrVW2CpBeY65QjmFEjGI5hG2NSfiG
Oye8u0VSLVubgEQbVWzO++wToCe+FpY3fDFsmsONbXbtW9fUC+yAMLrLHm4vl994C5143nOmzQd4
0+VZz0X8tbbKcdx6EQAk5mEEYUxIrfdLrcuINYg/Ode4zsRZseRwA9bQnzNR9dGpLssm0Fjgz17e
iQ838fvjktIwbVhUYsCkbz7ATITLjO+w/pVUGRCmcGn7X6ojpArIY/9RWP5wrAFAlLHxTvhidywN
k/U/MnvGWgli/5psJ8B/EhT4Ap7/K3J+FhQSGdGHW7T5yU/ndVur1SnU5HhAyC9PMcvefEeVCTuh
Bwr/aMWayXURanc6yXQe/WtdhFb2KQ3RDU8WjchzVEPp3fe1UX8jz3n6FoZ2+VblsXFrIlnGmxBS
FR+hlu9W+It+rRGsG1xSITudcfzICt+4zJ6YQmxSkEtpoBe5FT3rRzNxtLNFDuOco7qFUD55hYdg
rOxIBZ7lL2u2xRNXYeedtErz9EtPTveJcLnkeWgbSgKLuIGdYzW2gIflN7+ionNMqK9KvpfN5PyY
tTef2FyJA3QZeSHVyvvE64NdNLTN9Gh4lriGqQujyAD582zHQt7KiVc1y3J1wMCDYKUzGrggoSQj
yJXNk8tp/Ux6UHPEEUG330W22NdZ7Ek4R950I3bMOboiiQJEFqyR3FBBN9TqDWNh7t07K1Tpecye
DDQi5CMgCHDdDO0PcgWke77ZmO+Q/ZOvWqSDvWnhOeG5YF3iBEk1iD8lMWnlPcV9sC7ZS9ZjXe6Z
QW4ZWBMWkP9frBJNqGEZ0ZdYC/2Rt7X16hjaea56C7mr1Ym97UwVggQjei2lH5+oahjPyZF/glpL
p8T0AMfOp0QfmsruLyCvPAjJnvFFzASYWc3QbdF5V59qBcx7o2FgLonQDZHfh+41AwIPBb3Mpoc1
crUPlmW2nQ1eVjIR2BGz+bDWKNIoOoVdNZE3Y+hd1c7xO+Lj7gYZlYCZOLa2JdqQ7cgLvF1G7s8C
vg3yT+8UQy25Dz2BEC1cL8wLJjE+Y+QdpilFbVcWYHIRUpGjAA0qBPcNWVYP9lF106LPXZXGZ8oZ
xga2lcYvlA3yxe0G9EIoCErNwkNZj1nDahVhNo/CUiHLSlunfeJv7UVKPnI7THjLkJ/QkJrqoqNu
DuIK1jCSRVZ/dSjJk0jFfLJSu9+HGR25iB1/XzarJ5K17SGslug+Liszx+UZdePWu0o6OmQlK47O
3dTuJxLRqS0/pDl8CwXcJSc72+qjJf6UBdoYAsonOOE79WW176GhM/vFwf5u4Ix8zFvI8U4W5tku
Z5j9UBlclgf6MeJtu8w/eMZqJMr8nFZVuEckA/IgTDppUDJj81CRI0N+0QBwdyigD4SmNT92k4mX
oqoWcZOouoisjw2cgQRaXJLMz14I+4w3YHrMg4CPdEo7kT6Ocex0QVpX8+doF7naRpVO372eBOGS
IELkKmmnnG3KTKHeasupcCcWnj0FU0lvHm7ESDZ7NQoVnzwIa9s0qXW3DZmaHMWkYW5XLclcTVte
SzWYD6lWDTylIXubqtixz2M0GrtUg4Q9+mHY5EeQ9+XVs71hFYlg8jdRNkj2WMeRnd93wPLOo6vt
jrq6m81nTptY8OAOQw27GrFU24dBMYbjmWCja0sIiaMgplD0IPiHFXxlYdRt7CGHra7Dntxw2Rtn
LwXe7Rj+vWGLBwl5sfPPoVTRPeNU5PaHdrtpJ5fuYSA+nKgoE0ZazqCuI5H2jf2V/8gF15Bpqt0L
oPJ+b7r2sHcnm2diqsJfIL7J0LYcdcfxZlNAqwHnhVYWp2htvBly4QyZpxA5kl+X5iFDjBOoXDRP
i5as56fedh7a0IT45C9kGqXEErK7JqU8MrDy94KyzEJcNuTdZ+uCwsdT2eyUsGpuziik6MScLiz9
ELYUBYl2Lg7vUJDOmQpGyZSttpUbSC4aeFx4Y4okVLc5zuM3a2gfGlvigkRSdchR8yLJoLlhwBpl
F5m1ioPEzodjRY+x86PYPpl4AL64k0AjkZcXYidfpV18AtO99yNa+cyKSeucMgh6calPRuJxM6Xd
FnwLABurX+550xQ/xrkd7hXVF/DsMLrGCzhH6UUotq3vmc5g/vQuvF0EJNE0Hx3DjemlFr1Dulrs
LS6kCK/lDE4aE9uRhBcGeTbqivg0JeIczxJvRXTJlkTeIhVZl3Id/2QpgNftUgtslNZIsPBUwLht
Igu/h17Doymiywgnm8cq3GyyhLngmH1BEiZPYRu5F68f3C+uVcB3MmsQzhYTUWV4CQi5JL0Ms0KU
4FQtoPS+NNfHkO3LzKNhTIQvVGI6hrmUh6xNzl7WH8wYkocXH0xFsOQ4b3UpIPdbfkKGKVSl1k6n
S2sLczdL7iaEc9VwslSB6B6cHjYm0bbbIgNWvyzT0U2aY2NSQyzu6CHEZ2UfYVJa83Q5/0C+vlkh
i+ptXMxGwCrRuMAk8j9MpHGHLpyt99ajZPebKD/XeBV2lmFFt9wQbiC0Px6XMbX/ZCHhvEu11E9U
wCh+w2R8y8qwOjllbTxZ4yCesqXJOCvFCujB/X5t+zS+MXmFRkzR9sOyLFpoq4Z7z1T1JzN3rCJu
f52aFH9KKGAxht/NibvPmUGqZeTCJMZLkw7GxZ6RjNYaLr5B7sppsgf/pqX2n70w7XdIjuFQWRSw
oyqdoHNYCQtVX/G24ZlJqp00Q8SJLl2kWcCzmjLqhLL9ZgFz2xWGE24RPRmnzrGPU7YYZ9NJUOlY
un/o/b47Kz97EmQxCI/Zp+22DxUTZ4zKA7G8iwOfvZdfs1jfS21aRwb1z56Pk8coSEVqEbFb67VE
xktoVeOW0pC8Zf8DweKaT/2tZbCxzVtyRBCTx0/pNBRHv2fQzDVTXt1M2zzHbXViHXLxgIico8ld
LrKNjUAJLz8WmXdw5wxBdhqDMjXL5KT7PDo44/DMqDfZoLgbtzZs5B2KW2SJgjL8BABDHpe4yH44
dkpY7KBIG4HJLnfpwBmJ4p0M2dTZ4REnqNkvwn2VqfAy5aIIDD/qjr5Fp78pmxRjE5qyjTdBuOq8
8YQ6BBC2OllDfLEKcBwO0qvaSsRrTbTWFc2D85qkLr6wdux90JwzFyOqYHJYMrjqw9ZLWYMgoqrf
kMfnLGhoURaJbKBYmCDHxP8+o855zARmmplgF2+UQWyn575oPstJkIlK4DfRG55ZBhzwZ7Mm+bq1
ij0jpvpEFO7q0WF2bmftfAOdjzFZ2eYPh98PS/qQrZSpaRXvec2JDCXvcSIJZx/iuN+xa0IimtfB
SFTuXo4gwiDfc+ZVH440zCe4htDu7MmfvxQmJB8Um7Ld9+R9HXRC5p3WJi99Rg6NGrWPpNuIok3d
imtRui7+aKmvag696+hUtwhZEEbtTxhEMQ47BejnGUn8LomdxznBk9xDMouGzzlqYa+ZdUUhbjdA
bICuNwA522rPtWngroYKxDLbDIhZ0Q9DNlp02WAguLmOmSWOFtoMNFA7jS8dbHdx9LyKD5QqAm7b
T6ntB6MU/qFTy1EY1kV4yKKptfbNOH4dbE1cBQS17NRwHTyD1JkfnDD+OjikE7fYGp3EF/cinfpv
hnDqI39OPBlli6KBODkN3RglivGMh+NWOc2ORR3EE2J5rg0Lsk0q7A8OcHxYZiOAFRTWzkATtfNm
643YJB9MrUfaQBvvqaG3LQagueo/B7OzNyNX88ZX2GzIS8H7VEg0nvZJxsmpyKZtrIuXRiaUl0Jv
k2aMNg0X+L4Ia4fhxiEv5w+j9lw+PaigE73a0HI3759psrt97ia3NBzx21j9o25zSj0niR/Zor2m
FVYJNTkjRD+TehFAzV5ZGMRw9+8nnIFbN8FMOknLfZjwc++8HFd11uKWxK4c2B0Jau3q0hbWeHaz
KwvMS62ThI9j+Tyk2LlIrwz9zj8iHHmQiz+1u24Y/N1QWcVLBLngg1XJOV26DN84lsyinvAB5dMB
3ZBdBjnbglPSd8PeyKQFqyC2j1lHvFWzjNGfUWa1LM2cb7T8Lw5rRI2GER1Z81Mx53rB0FsRczmG
p5jJUIBC/mrInIZartLlSXlH18amzyKTBFfGLcNQ1W+OhbUyS2cEzInhOQE7iBQuJn7upp7rq62Y
mNE2hPsRMeHzEuOxC81lulWLSxJGasvmJGU6oOudcCsjTjAIOtusQeq8UcjKaztMAmWr2d80tZO8
jmJyH3jOAhscBRlh3TUNIYsSIMXU67Sktofhaeo+us41TizME2ICzBn9+aJ+1EvYHSGoAEJNnwu7
ig+qSutDCz7zzSiZfDeifSQ7hJ8rQTqXgcUiFhAfW8Q9T508Es8co4q18/oJw/S4WagTZszboO2N
pjwtNYqRRuuvohonRgdtDHA4cm+kiCNaHGO8BGme1Q24d96zo54c76qiek37ULJWO5HydSQojbu4
jJlQNeKnYtS16eAykCaQTl/SLmosnPLMwyG4aSapyLeh9b5ni8iuZIuVZ8SgE8zpJCWIxwg7ZO9E
76UHncXZn22q+0OfOXB/qTQpqLJhV7jcyMlCINWmVaj1OBfIG7r5AoPGdZTzhdgc4y20yfBLa1qP
oDMsUIdCEFZme1mGNaEq0uvUUZKpsLaOo7aIwVAR0FGSphZYHrNU+OllcoHu2Rz5K05gAu6+0svb
bziyxcnqZfOri2tKx9DtrrqlYSoNx4QeIOBSyMo5NPjgDg1UFm9rycYKomTg5h3rQlzNsd+1FH+O
5dsQnJlSXMmPsJ+Hwo7O+WzbLxz85X2QToxsuEExbLZNQ/5u4TT7yQRascF0O21p/muuPrVsZ7dB
tI9Sl0lYNdvxN09yXqDH1NkrgjrSt0XJMFOXj2lDlo01uZ+hbzrfTcdCowgTKfwZ5knxQhnyNfUF
y79/Y+5MluNWsjT9Kv0AjTTA4Zi2MU8MMjiJ0gYmUiLmeXLg6etDZFf1FaUSrcx60ZabtLx5GRgc
7uecf0rqi+iaR/IC+lU/D7y6adi101huEmrno1I6y9Vi8OXaeb8DIM6/EzHg7NxSxkuUpzpe3qRU
BowHVwFBTXd61yPB0VNUF6PjMjZLRMunJRnQ2YDuWeFsCuQ1Zzcx8duoFAKUsH3qR0Qquqi/REZV
YW8MrRM+rn2e2iC6J2Wn+iYDhAgAqM6wNQEcq2Un4VqWFo1N4D+GoeftXW8udzpExG53VFEcs+Gp
+DAK5z2i/F+YcUYmLyModgKFg2dPBMqjkWYcJs2UqFXXGvnJnvy7zsFVIrC9S+i4amn05EAXrXhD
8M5itCLzRmXUxnU8mUdSa7Tv5JQFa+KTvnmt4e7sEv8uqiS5HIGm2TxMDOAzP433qhfGjlOX1lgc
yHbIn+LUsM7CYPnlDo4lnXK1HY3dgEtIemkjG0cEgKmNU7Ung0K9cVv02RNTyXUvpmaPAE8796Py
GGLIx7AkgiRPMuCVGlwcyhoIPlK5Ee0YVqglXrDmrTZV+gkXLmxDfCs+GG5AUwz/g8mQnRzbXN0b
AnkHSSnOwhkG4yB87wHetDyGef6g8xEtdAuX8h7HVtWmj0Uan0dMIWANl8Thihie6JTgrbi0Oqwi
IM+3G0GFw17IaFSuW69nT0beVRy9wmxDpgAYXRTjEDCvttmQ0U+XT6On2T8Q3zO1LBBaU1hMvF6r
2Rcsw9XolgWJKVMCq59t8aYNG/+unqbpMMLWuXE9rLFA1p+swL7YDTGUnfS+2zExMio4uUy7t9KC
NFGP5sWjLjpGIUl9uDVFWf08dvGLhdHAomzIXKtQK2rJxW/6cDUBsDzUaEqXApXbvakX9RG2eLvC
IDJ8tlDA7JKaUOVBNSS01C6WLYZDhHUp145LvmWG00rQXRRY0w0ZdzE042n4DgeFGIIUj4STbGtm
L53FFxCQCGB0AlwMBru+RvtzCHocmxVOq7h6FPlCwqPfughO6FaoFpB44yPsQ6vOlxh664wcbajR
FXLFhQPj7lmvQlLpnK609pgO5q8Gswa+n04UJ/5ofMjd8al1GVGlmtgU7G833pjGzlLD5uBtIiZx
zXlIiuEw9fugzNFKeHWrv+DZpT3S95uniaX8TDJzj4UFEcxEnYTNLfsC5pVBJ9NvcLH7t9Bp6esY
GnjYzDJvtSa4VHhrMr2V3bMFB/e21xSf8ZjwEsCYhvDsT5CDkFVGlJkpgSqPqWE3+1AVE9sV4rWv
g+5YT11ohNjsI7W8yQOrwK1Z4RxLNYg4K7BcLV9iMY40fwqyAWK8G8kSvYUTPXXpUO+BoyjjoPZH
GzpqiT95FhGeUJSC/69APOjBZ3mJnfwNobq2hDnxRluuoa6NUKrqlXhLKfgA3CYGVgstZiTSdLp7
7EUbsVMU/GfVlXlzM8KmpqTUrRc4tHxL/GO9udEg17yaqYicZSP8Asvq3kL0YRabqZf23vUD+waU
VZ07zOoYj4EJ14TGE/CUWheoOuxoIfbGOlbtvD1Mps2dhtk++BNkI6Sm3jzpyheUij3mrdA9UJ+J
pWPE0U5X9b2tJDAkBDhSW6WlYdsVpzetZqsHJmvhpioyInx6D/MSrcpwYU/s2QSAmCuiXG2FKsDw
rVeCnNp+TUhWdWi0NHsShCGtBFPZnaNS85aEzaRZOr47AEULc2nCkul6SRSrGSBNrxWZG6RDVAML
OJjc73moBxuX+A6igmS1njSv2xeiELd6H373YKEgXqOmXXRD/1WW6DkawmrWiZzuOrilK1FmcH70
qVv4UKeWdpuRJj++lNEqafRqYYriDCJIrmZXGU8o0VCdJPUWVtH0nPfEj6mgICwv7gaYtwaeOGl9
MHOLrsOZ6h1dYLhpTM2/70rMz5zO/qZ8eF2Y1rjVWse34yZ2GX4pRmD3MvExrY9zSz4CNk2bEGeQ
y5AP0aZVmvrqt8ZP7L4syF2+vM3rOnvOI86OIkFWBBcyunSDZ257y07x/fcqdLygKPa0xAPDQ3vn
E7TTkzr3GHZ6e+8IAJ+1yKKAzHWhR0c01JQEgSuNVWByJlsQt/3JVHh1J8YusjrcGJRHg4ZcHARx
P8oC6HSWYc0ntUPjsXZmZU4JIWBRGpX+jDcfxnodqXmy7dMZmDVWcTT068IqH+nMqFJaWW9ddMY3
ZK/0m2zE8GdMxDfwN/9IIRKfUqrJZVbR0JByZh8tNAdEPsbpegT7u8HYw/pCcMA6C/SBCGFzRObT
OrukLOtjORnRJuka/T4cRL8FZGDM2ZZDyexmRL/b5oP/EPbKPjOu5FZiQEGiouURaNq446lK6gM5
ljeGTyIG6BoMyWJyBDSK0p1O+aSc93HMsxTzaZMeENRNHYbaI6pSTqweZqmPwSS7W7Mr77RgWuVM
89D/t/Zepg52wURtF8cgx2d/UemYUGBU33cbRCfJEtNcuJC2gT+oDaTiFGb3I4U6sGm11N+ZAaZm
i6IpxdagUDgi4d2l2UjweQ+NZ+312oBK1MqjZ97vN4SO8RYDecHRBa6OO4NB26bIToubF13GIT4c
hFYvBiPEF0cypmO4A36nr6Q0tQ6pXYcVfWIDKdYG6ZETCiO3yruv7WiOd/HI+VhWDjGDIY0BdndH
J5/1viX6RxLTnIH6vxrD6L6t3IpxcdyYUMvYodsCoXLibaKB9YvN0JORWsmPScsi5Gq18wMEzjtZ
nXGIutgsF/TbgmkR1nk5e6GRLmviIF80ANnbwqiIC8lzg1VhaCs9Mctvg4fOh2DRPhELRarDkbMg
fGMGSuchKvM2wBBrDTEoLnhxiCpNU+0LHFYxOlNSPwYZ9lcqRjfaa+iD8lb7SoBs/c0LqTeWdtHr
R6bPnDZ9TKiAz7CSNkEOqJ8GI97B2cEmsuiqLwyGviK0fR2Ul3KM2/WTKcJ0H1V4SS04TqMXg/7z
SzvqwDqdro8oK6nT6TUauik8MBOXngUjLqwqCCPOL+6YkTSeu/YtuX3OWpTpsCMmlnBLJn3txmiC
Qm6wBYWTMcypOXSirUYWtLm8NjgJY4nN5NQXEC+8EKLCYIoRNGrnasIDytBczD6VuBRS70+Y2uEA
wH50D8lDW05M+iF6KnWXWoHE3bkNXqA/m09V0hJ2rsFaAe2B0Kxpst823Twfx1PBOJOFwNxJrzMX
wAsK8FAnqyLCGmbhBJwEUT4yaO+jhDjBIVi1miFOepdifZYLSD75ZAuitV0nXtmVna9dp3mPjahd
tYVfYXcaQ2eAtj2thWk8Osz2l5FueFub3XQNvpudtFTcWX2OJw7ua0jpJ+c81lVBv6/Ua5+aFSJY
d3AvEvC7pkWCGapHRnYPSOs9ILNQdwDYs6YizI/aCHta5np/iGtnnJZBkHZLEwuqBzmCMo5m+9Iw
h55NzuqJdCL8YWDS1FuOUvgu0diRyZHdQ95LToqaaxd7jbmSg/uMIUm4auIqopR0VfxUwde5G3pl
qYXeyfhZVdhtkNY8QW6K5pBhc7qpWRDLHCMGc0Ec5b4Jk22YDeHByrAGyXzXxUjMOiM4nLMRMhcn
kDHfM8vol1NUZnwRajgYJcQZAkSZb9aOky19nM1e0KvA+kBC9EWzzXu39p88RRJIWAcYxPh0cUnd
kLwyzPGgKr6E4ITYJLU76Tp8P543HrHBYPKaqvycFARu5nWyx/1ouOROxNyAJurkjdlI9jAkr5vS
8VDjkZbgNri56uMxCACMXM06EOgOaKO7QbeLfaW/hHWFVhC/ka0lZfZkdA4bVwsmvc/j/GAUdndk
JgAnRFpqFRmiekYMON24jQ/DNxMVHr4A1diw2gjA4CuRiELo6gblXbzDexZaB45kS4zPys2AMDfj
+BqR6pcBuGwo9fTCNt2nMySv1pwcxQZMUj92ov9Z4j+5LZvA2qGGZrSHtK88s29ZGJuY4wE+ASIv
L1CPfRuoM2ah+LSQkHoPxTJdT5HPSMoz8vuK4uJ+aEexDjDk/oqTUhwS76L6o8rIMMWiw323lek/
902iSKGgKWUi7VcJX/5U3QIveV+Q7444UxRMDcJCWyUYw62t3Ar38WAV+yx0xMWI7Ohs5g2D8ilE
B+ENZnvHbCB8I4VWRx9Q5hIjqkRBdzDs42g3EgubQbGfTQ1TQ2UdcevxMH7C9BDeVgSeYEnvrfI9
eaBQCd4YElJDxPMoinTtS0QTTjBZ3VkHXCHmUdAXHX1psPAKvf1Kmop4ZroRfYWfNt0y2zDXgedr
66n24p+hJo17WM4gB36RPmL5Ga6BBWjvZ7sR0yudB2Ql+jbsKgstrh3e9wHwOR6dOOq2YZy8F4bZ
P+QcrwAzo39beZWFaVSZZrusjeVai33/0GWmuakazhqa55xcsnQcvjJmsW+ArNK1S6wJBuKDbG5B
DORD1tGAa8WYPOCO9xo3NXaNNednl/qHMFANcI5V3waVMr5bec9YMeGbWeRFq3MmRhrEoDqDYjOJ
PRaJOKXZWn8/TcDFCzFAZEeSWG6mmkFGGXv4e3vCeBex6x9h6JQ5st6OINYRleOdTXGwAYzDAbfg
OxzqKmPZ0urTOjMtAI0S90NBaEXseQU5s9ReuR89cLpS81j00hy/5q7OHAcsLUyOTZKqJ3sIUQG2
GABLLW3BrClrV9TIyRcvLrFcqzQ/fOlxAYlnEevA2IH59gSvhi0q0pKNo5vy2Ah7+p6Xkb11Q9C7
ps3MpUfLufRisqhBd8YHpmHtzrJI2B2mefZe6l3zDrlmJIg7sB6mypj2/dhh2i5G0kNE5B3QC9jM
NEBi+FSJO5HZwPikcZgrjLZGuhtjc5YlCHamzn3UXrLJaGHGkQrb4Qa6gU1GzRlE2jYHunloeoW1
bN9YO11Wgq7KNQaLpnJ03yfNJkCknvKnJOQZ2LIxN1FqF/uCXNpzHXf1LVqe5BAaXH8wQRRcJA6O
50wff7LhaDe9PzYoj1INcryVpuxB/xuuWBzHIh2x6xgsA2/6WU9f+FhQ+enXtB0DIBQow092Cv5B
TFN/1+d+/C3xmp64G0AX5rSQYbEIT9mR4vzfNu//r7Vw25/F+Xv2s7lmjbwV+ATA+CBP5P/DKBLH
A7aVULb/yoX/rzzLc/RWvH6v/9e+Sb/nP5p/EuP/6y/9n3gS81+ehf7SZovHlwpN7X/K3zzxL6Hb
pu3McQCO5bh46f8nN978F/+LQJkmpXQQEv9fdjyEeg4togQcRHM6/w/jf0SPn8Pi/pFJ4No6szmu
zODKdMvlr/2iksVDgHInUvUWKMkEqcpe89JFCzcTHUIfWkwxpe/4UmO/6yWv4FOQBwsNyxSEzSOE
5kXn5s3KV6je4Ac+98XYL//xkP/AnP/I4J8vkQwVHTGAwxMhy+XXSzR7n307CfgcM59ZCDbAnHqV
uRhD79QjI5GmOtsNdomBgCaLdeQnYuj/5gIkOS48KgdE4NcLQLVeuoPE0sMPuABzUv2yJOlqYUb+
mlE63HecpPD3bA+wfTvcj7mOvz+DWaTw4S0R7UHOB8pHW3dnzcY/tcwNaFudZmkFZYw+idH9Yxda
56jK/61xRaBKfs8fnrX8oBe+PmsbE28LBNvzhPnhVhlW4wiJEmebFz0hvUHrbaA9vxTM/TbeSNMK
FFVQDTUEZWGPwvxFx0GATsDKmXVTTGprEyLC9wYzvnWNNe29iWk2kyEI/p6l6n1HdbmtM5mstVIq
JnaSA8Uucarp+nbtlMFEsqS4qwhcZP3xIMfK/orNwl6vGxc/kso/BDnBMRqyr21jTeHN6D9NnLdQ
vafHwnAtKE3kHaomeTfMKVk3ffpKCLm7SjFknlzvZx9m9+bkfPn7G/pgdMCD45PQXZTLTMckmvNf
35Az5XoaRFW5tUwSuSM1fqVaWOF0AVghBHhpGBDiV/Xev4VL/+0bm7N4PywNibwGZQlC6es28usP
k/3llBxW8ZYMe+qPFljAcaeWqDtSYAKzaVaRM/XLAhLOkazvEpcIzMgcN+eF4uiCPVWw6dzGw4OK
bwoKfEIGN5GuRTWM2zT2W5zxBBL1EZHH+u/PTMxK7l+XNVEv7iyARzdn4yTw67XrnSf7EU8KEGiR
ryrNso5BCLZo9h4OA12xTpw2JQ+yzc4ljM3eNPZDAqqBF+XCx8z83xuQVBssYm0mhwu36cyFp3HT
zsjdEJ0SgetPb3+/7t/ftUSgJGxLsCFRr3Jq/PNrbEWk6eQ/UEVptUmVz6bg6h4n8vyga7vEw6vD
1BMTI/HZ9/mHByak8GyGPoaO4urXX6Yp9LGfrJmq9zBWe4yfFh4w+CdapVnx/PG1mBDPUWZzc2w4
v/5KnpbMpKs03Yajk2+dukoOyHxfP3mI8oMyi09mjmXGAUFAlfZc8eHto6LGnjPuU+w303eC4Ot0
YTcew8XcbBYEZ3Fv2sDZ0reA9MaUHDIrfTcCGlH8fGhVupBzB9qRQVrIEn6hRsIDwZVpwyInawDr
PB2Nh5m7j5qtjRiwOmehxnofDZ0Lttyh9DRSb4O2h1BFsGuKd2urK/Y3y2CaHVVor9Biw40OLeOk
Y5dDtFI6R9Tz78vKdRlZ436GlZS7qJTSZv5rsSipPjf46TEd98hWF6J5Vi10fFEih/Tb+JXoz1cr
Ni8ZMP3Bp25fSDN+r0VX7KAPM+/z8p2mGI53xFxv0iJ6rwMfDw3M0tBWOqAcqHKxvGR950FDdV6m
r5jQqQUE8KdqKqdNn3qPIYtjqbUJ121e8sjD9iEkM8YULaaUfO3DvHtjCdF8KRVsU6mBL6EbJ+1B
8mOpF8vvVNpsywJ7/3SIXpuAkHazYgQa2CmCVmF9y2H3LQPQ53uyCSgeoomDGJITrND4HU88PFKC
1sU4jutFgnNfCxQBCafnYKanYMCkv3fZuIeubNYJB8iK0HhSG2rtxdHLhiy+2lt6oQkJDqAZfBYn
LT4xkFwrejUlrwP6V7TUGHAu07FluiGzk5WWD7HhPVZNlvEZEkqc+DM9EdSag4Xk7dTk1cCvvrch
A8ArYfDa+1vfyV9rvalBWUAdNSfF4ZyRPQMTNktM1JhlpvamqtJ3jNxJT636I+jEccqS99RBJ6Wa
sQG05kabIbMWg4kQhBXoAuOvhO6coZGLpVFxBmCFCWurq/QVJJ1mUcxH5lhQXxFCWdKiJO9aoLFi
ebMknL5bRsE/mnlDxGmDM0Ovg7uXNSvlB+8FYyFUgOzWMJBdSEVgb+gFFiHy+2U6Za8wodPbDmcG
6Mma+9CIdDPhcm2DNe5CholH23ce9RYot6Y8PUFQobaaXwyVwbmx6xZCMHvade2OA8tGp8XE9QiD
uzKMXl1wOvJ9zAsZVN4WPsWrq/c44rHCjZZP47pw64nr9nO1cZTM10Zmb0dcB0qPQiasIBddP4GM
FWYY5qXBmmqFxmnWM5SYlKrZOD2aqw2Nv1dkpblwQ1YQFAgcEXQ+l7IrYKmKPjwNOlnhxkA2Q+my
aAuoZdcL53KpYjomezg9jFvP475xymy+dN4AlNvCWIYVwafmhCUGzh6BKD3vDipOsp4qOIC24prQ
hC+i1ovJ/e5PxVAES3K1441qffSabGBaM29YDmLLiftg6UJxmV8wFLoL88mXouS7gj7wXs35Lpj7
v163C0ZT7y3RJ8TcsBPkccAPIKzDy4ETpLTxP6kNuspu4CHSDFAPTdRTVMnOoreMnQtMfEoLl1lb
xa7ERpWQeVm+QI88XU8nbEuZjBG3syHr0j8IO36HnurfwZfcZBRJSDFJzKibHPNfcpjYT3/kKZuJ
KVi52G03i6aJnpqG71hq/N1+FpnbBQ9EWVt8qV/BbK7b2YjdPwkz9vm6KXUQbpe0wy+x4tqizj7D
15x2FfAi/U6OOTafCrkHr6MW4b1rMiFIe17utZsI53PURku6no8du3DO1zscxuR9/iSqyLrMR4Fj
i0tbcmHXd1AKj7wNbcBddiYzDic3iC2kXvOyybGQ9QWkz8KoX/RYGierjt+TMkjXNcOUVa2zGK87
nSvZTKzQfSxGRqqSDJ81u8lw27hju1Ya32/MlwnnceLfcqW2I13eP7Tz21F4IS6tqTiRAaozlec7
RHenDtedOFJzIWYH6QoRFWcGwWfkCriPDlR2YicCSHP43it0mvxT5pCKVd+VG8Q6ExS3LDoXHqxJ
1yo5fhp2BNYwf34+V0xEBLgzUjwntoW3gL/GvXXcYm7MhzjyIOcVpoCRF2FJmc5Os8GzGsSoYNEB
Q5WYW7GsMlyeIaHyakyPgmJ+u01cv0Q5X7iDEnJJF0QEd8AfrGC8bq77bzrvjrgP59sc4cBC84pi
V8UMM+YzroaOQW4JqxpXWgoyhrk2ITjAKmw3M3xF4gnlcBcB03XM+m80Px2f4CYVOwf9JiEFFFe6
Sl6vayVvs9fYDd/B0x6xuhw5MBAE9j2Pej5tfI99MWn5BPy6TW6UYycrW7OZovWpAFiEgWIJ8gzA
zKuN00/4Q9p1dB5m5wHLmOtz3OXiqgp3OKFx4I1tdWaXrI6RDFvcE3Nz0VgMv5UZwusxJg/IkHTg
okCCElctGSLNQKiAH1r6DnvoADmS6mrKaRlteqPscW2Imq3nhJQaChvoqniBEdNuFJ3Vm+Yl0wMC
GJwlkDutgrJ9iIl/gBnmRivhGwb4m4G/SDbmVMQmjP7O8FemCR0mSNESIfkGigvm0qDsi31thc4d
ipsWS45RLOXga6yEqti7cwOXhNTJ1VSfTQM/V0cqBNVe8NppM8HWEVhoJr65FMPUbJJBn44Tko4F
IT6v7tzmFU6ZrEKDwAGO92ZjMQvceVpWnSMLkRB5BdFyKNKW7OlMXzawCxYqDSQ1CugJPG1O3pEn
1ov6ZzxRsLW9BVuoInRN98t2jcBj33rVSzonaXkdVLyebKIbeAs9CJfZbEuYJVjASJ+fB7DPZwWQ
NDAlD6eccbRhdEjPLETg/TfAz+Fn0tYhmTKuD4nGD5c0UG8ldMI4GN86RfEMcZRNCyd1bF17XB4r
iD6sBsh1ZHEj9ACM9wGwMYoT6JwFCT+kuqO6bgZ4aoFcUTzf4R60xHqSMlHvNgEjsDVhym9aEN5o
JOVEBfuv7IcnPCMPtZ26CzfKSrZy7SeGGnwDA2N3gTH/Oum07xbqE9aTYe7bSV5w/iQxqdZPtWYm
kJnZMvW4a1Z1hNQICEhfNSrjq507H7hLpJlNbEtRF70bqvAgBlA/GT47TZGH45PZymp+wxNe/pxA
Mrf99yHWiiVEv/Q5rzp5lJP+wswU10ejecl9RhxZUtVvweTBxNKwgsbssyXnhSI4BGkC/KBi0unh
oAtpgo1r3sellpxMnXMuYHPA6KtdY+2JkVxZ82/NHb3lUdw5Jp+pi4SIQ8a4mApyc5pHpIRnrNti
XqI0zFs5DK/wu9xtkvcXLBAJ//Eyhsc57O2Jo2C+zt7VUSuyOTW2QVvIaU2oUPzaGeFrYhUvBM3M
E2z90hBVvWhxd1sOYaMOhhHCB9KdblU6wV2eDqdyNL7RQFYb/KvrYwN78Alb7K8xZ1rQOttKjB7A
PZsamWMJVASuxqWqAslqqa7n7XSCFXIDbydZ9S4OsYPlPuL2/1qCLlJgqLvJUTVVIFBWTV2jGd4J
xoxN3+hGy1YMUGYUVjRiYHANsaMVKfca1fYZN6PwTq+N8muk8+zJ4WhBCpx9KllhCHi1HTz/ggKL
Z5oRDLEKpeM+Fwgwj4EWDY9ZhQKrrVluYh5eRQE6nSTB+s5lX/Mb6hyS4NVZwyy5W9jevElndCuI
uqm9m3biZqkxxdSX2zyCQgb9aIed6tZnDr/H3ek918L3gNO+Rg2xhoB1xk5IX11PdEgpUKEpd6p5
rQYsk7MvZwoJNQHNtVjHJmIejQteyPnMzMciJfyMrgUPILXAUoRwk6B+KTKOHqxyhtug5JNCUsTL
xq1826J3O4xMJqEKp+o2sdvkvup61P26sdYCgguVE1Ld0dGjUGJN1phYnyI4KUtPjrDqXM84wU5m
1xesYRWa07cMjd2POoIHydQC6bYHtcObMb9OYzV5WEF9T4eGv1Jn7/qk66+Z3+enlFPvuvrpN9et
E0cHmtV3hhDcVWrfuyra2p64oM6i1fM5ueJS+zkPqiw5Vbsu8Pobi7E9sMJ8Bgasz64Q+MxTQ7Ep
BOWl9sAaZeuVyxDTzKXQwzNJTy7Gq2aCrzE+rInVHrRuithxyyNUlmktK35+tgSGikWBFWniNq0x
Ze7gXCy0cDBWXsgxzGrniEOmuexzebmevYC5BKpJ//Hvjb/1p/ECM0ZBxjbeMPrHyOI+7qFcI+vb
aoQGrhJwPxhI7UtVMhSMdUJpYAAl3AVvuZ1SCE4i69hqymer+uJWJW5ckcE3TKM7lxmdo2tr23Ee
kz6404WaACQxORQpJofhoMM0AhyxM3z3cTukAG6Dp+sg89ojoWn4getyCFhKCpTV2hdszrCx0FoD
H7JRHexSZSelGRR0/VyUOvRArckeUjuJoL+2qL00BPXXJqwzTPe+c3/EUOUwNqo8zMTmKjDEx8Sm
511ZgevvE8NQ//MROYiACVAAvZypgPlhIhXjM58FfClbv6HlcJ3BPzQdEwlbUHRlifUcXTfeOV+S
eMu5S6Jo/Ptr/cNQjIgMpmzSwO6Pee6vQyNs/mZzsKTbxk6DobaYwl1TUyeFhBQuCEUlsc/u9WWf
RuYn4yrjD2NE2vc53Ntkw2CW9OtP82UbpK143dat8Imz2NQhkGnGfTTAX5ZTWX7rUAGv0UagAkZO
XPRZ/+BBixpNZbz8/THME7iPszNbd4zZthA1g/5hDtyJTi/DYki2ct4E5oGBhPuyQDTermtLXhBm
f4ZPzLf34SeZj85B9ThnGhTev96+mbc67SYJRY1vuuu0GonLDPhvRlo8qqbu0SYhjc9R+Oyg8WW7
v9/wH75mcAIugKD7K5T1669nPFSzzbV2W5Fws4IOh6qfhuKTFf6Hx8qUGYa+BT3d+g2m4jQVcNas
dgtbTy47ctxWday+aWNzbjzyhFr8Gv9+Xx9tSOfxpGcSDe4y3zaY7s+r7h/+sRUh1ZQlWbsNorg5
+i0D8wgi4p4tgVHO4D6GHJ9A0bNW2w5eM5US/aKMcqGCCsfgPvoxpZ9Yo2KW9dubBke0LZ3FzhD4
w+IqNQT5nl7yjSXxt6K0xp//Ln6TmBovVdUn+egzyvjh9xC5Oo5k6u96MxD56yPohKPZfp40Wzdy
zrUQ3iy3z9eFL6OlTtW8MHr7u0zjp5K4WSwMnupZYdBHw00nkh+tO+ADZUXTzd/fzIzK/nZZnrCw
0WLl4V70ERB0FeQCJ2i2GTHYSyeleLYrtpoO203Qf7EnZukUMiT7gqteOYfuUdGGGSNdqIBGrRhM
UcfB/RZYjxdzvKhtngejxaUqjt/sZoeHIjpTSQnSOnuzMS+CGqcLwnKRBV281tpgDT06XjoTBgdt
DrY0o46Jjc+e0OeEV/giRDbOvbWuC4jQebbEqm9mrzHKmmG768EWo0ba//3ZfDRuZtXOSDLWwqYN
Rcn+iOd6Rq9aGsPZSYB2YbSqYOm0QY91RcZcDN0H4S5ws1WLjUzb9/r1NhmtooOvCgpCh1Gtz0kH
1wsbS73T1pYOStTPdTPydthxWYDdX5LBXXOZhAbZp/vZxwz56z24urClicecjhHwh2WHvY0la4pN
itJmQbi6tmKmhkDPqV86gYwstLMT6o0aazSnWmgpCbODXn5yoP2++PGzwwgH53CTiHf5YZVlqHHK
HruuLbSGgxh4MIKVEOUouD95Z79voUCHOOQSn6M7wvm404CC+ES+JCVhnEwFY+oeA+UT0UZt/p5O
DRMOBGvLaJ4uVwo5Uk4Y+QLp+Oz7CWV+KMNXQQtP7Kw4ORn9XkILyPNN1sXcM+Y078y3T7UJNm+m
jOE0n97l7zfxp5cGgAcAajm6Zf2GHCOFdIUxheU2JHJ9JRCXkqGlymXWUHWqTJFcMXQ/5n5pTBg/
Efv7PmbuJzvW7xukAy0CPNHET/j3YyIVXeOUhlFudVn8NL2RnHoxO2KktViSgPHJr4nfESzHMTEp
Bvc1DR3l9a8L1SRAA3NjUYJfDsEmwZ8ExYy9nxoRLD0jgNRnU1BPLSAHBlvBLUFGL4UqkhssrpgK
6MFr6RrjTSqradfTeC8SiSO6zOjskTT2N1g93P79Nf1+jnLF1gwUoyueaSS/XnFtKSdrFJ+Wo2FA
Aze8XWnkb6w7nf6JUba+6vX0E9DyDwU/v8aK0D0qVMv6+CWllA5DUUFQh5PHEi5MSSOuxCkupJoz
tpmnoqKkoyUhkPHU0TMZVM4zQ+bt2hoBq75Cd46HOUAR6SQ9cmPLhPBNkvmmopotTVrM0KbtNq32
RUzUW9eZSG7QOAng503rzLtZZDGvneEXjE8iPHkDVmdhhoROOpKoVbzgI998Sis0OoYGqFeijMKx
Iis3oTMX8/4AoXRGKB26ODUwJ7liG0WKJR+Y29vcCdtRy88pHYTC/2ZqCh/HskH6P9s6/v1Vij9t
G7YpIfDYAtfnj9kKqAuisCblcBuMbXiXZMCYBu3LRliyJe6kLDgDaXIjT7wyNmeabfGiMXZ3V9gY
EXNo1xiVjMyIrnt9BmV+H40RvpKyKa1V24qvV2hTloYH5wc3wQy4G1dJXsLf72RedL8WsC77K8Ur
jBNsuGev739WWpiSAMHWTrPNHQ5jTJHyOfCET0KG/TGovWzp4ZP8Vbq+szKdPvnkzJS/P0hsQRzL
hPMC18j4yO/xXJUQa5ITSpyCohWiVndGwrzfhdMI5OnJZ7y2s2Vkhsm+I1EDcx1OSKUxx8brl74x
IY6p0x0SSSeWKWcXiBJuGyt7lN90ozskIxKEhuHrFX9gtEFWNJNqRTSyH9YvVjmjARZD9pih5FbP
5hmfmse5eBle6mqQz3pqrUqcKOsedYNlT9aGTBym9oGHPZ8H6IEp90/ZEOicuxBssNgVn9TDf6gs
XEH1jbjLk5zKH33Se7C6HPlcgTiZz2oGCJBUAwkbIEIlksH11CKiD5Jpr/REX0DzZO4TPQMelPsr
DDPpHcSp2jOXnNaXdN7fKjyzYjIv/Lb8moPoI/kFi8DdZNz+fYn9vu+5wqai4LvXaVM/9khdq5VN
xuBlq7lyi3kauAlbRTIyjrxOo1I/+2TX+614dlhT1Kc0ZdAcONjnS/pH/xAaONLgq5psGW2Xi7Fs
yQickfsrFtNcX28HKNSzv8DkgDRC2hY4J/oX7HdUt66rGkI2ZJYFVI3PNo+PB+X14izqWr63mTU0
//N/XJw9YielJXmyjcLKZDTINYyUEd2MsqIk/4y/9oefmz9xmEqmQTPx27GTlFYDEJlsh/9g70x6
7EayLP1XCrXoHQOkkcYBjdq8efLns1yuDeGSy2mc58l+fX9URlWFFJUZSKBQ6AZ6k8hEyic+mtm1
e8/5jlzeWi+/zAYFldPy7nB3/Ksbsf/rDcFjj2NHQdGJkA03/LLi//DnqWZg2tjEeJaUkoQ7Dg57
IUjOyQl2jJpw4YwpFUlcoKOFpyMxro2kVlpGcXVKx3sZnTy4SwayZ+3+tnX9aVu7nbtyxgEiI2sU
WMXUnjO/KvakuYD06Yr4UtiQlMIlQSjW4P7bmG8eD6SQMbu+j2mHH5O+sHZlQhCwUQoi532/OnCH
cdTaKONx45Crh31RoT8Pxx0dyRoqaE1koIjsE1oOg4lKegtSDCwpcrC9B4GPDJ0mvri1kWzCJI1u
C+7JmDwN6EOF72/A4BB8KoyvGDimlTXW/T30QrHD15sQ4stNLYT3QNtQCjqCDW31mDn1Yvq2TwhU
JTqwNMBRk9cFdiEnPvVJMxCz7JDMOhqhvbe92j8EMb+DUYUR/d3HqnNuIxWLjUF3+IxiXdP+0daX
H7bDzkvlXyw0+9dCnZACijCBiJZdyeS+/vOHHUR1ExgZpzwKCh9TFWvMzlCNwH5jsk0tlYjcvK3q
utiH1YhhQc8OjqjlAyReYOM3ncv8oqeu9/BqbeIMe4NI7J2P9HDFyUASNC/QdjZ80rjZIIENN8WO
IYKzXroSO9/WxtNcjs4lWL59Una3nRJP0kNtMk4uShLZ29u+yYuDSFr/LxpOvx5eyP5YUKxg6hg2
GvOXV52d05J2DURONXrfKFC+TGL/uc3zx4/wUBjKwHRJyvjlAXMLkzQCliDOKcFiNdB+HZqBa0al
EYN0ds2zMf7qVvRrUcAPZe90KG64T7Bt/LJDRQYcaVc1Hm5hD2ddhIuECLaasVtK5IvNSM+wF/9+
Y+I+IIXmL9pa1q+1vQeBnAJZUMDTT6Xj8vNbNdc5pprFs9q7FaGsE/S3Sth6kyTLD8S5d6wCWL7s
dk+0HdI9gMTh+R8/9x8KuD8WRj9+B1rk8Ft8RL+LQPyP2xjLpvFEA6g5cVNjM8x1ewBmCSooNVts
lkMMaw+/z9tk6vDKg3SuJXy+TdEJ/5H8D71RgweLgjiqXZ9rYi1awaOsW6o7RQx9qpqHkfijo2w8
/pyOnMq6dtyLB836kyBGuVhNhRXvSZ+9swG4rBR2gr8ovqTgb/jpb6SAJZ/dxSZG45qz+ee/cY47
dzGTurueVXUZ7WbamRUwanDFw+nHHxH0Krszx8i7EG4NjZCMYJyvpoZ/h3ZEU4JtbHoRa1uF0QG6
n78Bd2Owrs32OGnxUaHFOECuREIG9WkDE/s+JRhkWzXxcNJatYesdgEGSe3v3ckbmGqDbpRJgprD
rbeZ24GkFeUyYy+MXY6Ff9OEchVVCigNANnrxFfuKndAYqEi6CI43l0AuXezrj7phmjyRvUnOUI4
1pjDVlGthhus+d1noyze//ErY//ppOVx0oRHU+nRCrZ/vWtVQRDGmnvTLkobeie90ay9ZIBuNj7m
uROu7d6xdrqDXQuDPVwLOl7rRFb+IfXJsyZZjJxc5svrLGCZJVjXz3UamW/1kihr6kCf+S7uZSCs
kYmwUxxoJPUrHjpEQHNYsvCCM7c8oLwdkj3Ztc6uFjXe7EZAnHfLT3029zsQEE85DekNTLi/qmyc
X0s99gzu3KxYGySKQ7v05xcqibvZpZ0id9bA4e3jUfgiJuJyObR4BdreF9u+9OEDjZOxs43cQIhT
qzOWUzw5TlxtEgUUNYf284yzE3lHzLJLdQvdxgcRtBNjxYvpRsamQRy3MRvekbkrwVfHfrIG0oC/
mNjjaYY9awnncRzsz45hga8JvMdQxe/cdUg4ZD51zjvDO0SINm4iPPp3HfXkVmVY/oMh4zpeqAor
2dTtXXoDe4eR347BJC/6wI/EKWz/RQ/nv3p3mFw4NL3Z+/5UFM5TrJhR8u4MmfzAbeDfLWul6XHs
jhY++n/8qnp/OrkcPiIbhRqdXBF4v4qZ855eldl37LDIqTYJc+jPCMsUjnxwh6bOp51thslVuZ06
C79hw2sov6yRhz4NNRW8P4b48YeXIQgvY+TeEFrT7ixUPpN7mqOkBNDAuh4SJK/8WwIVXL0xAt7L
BovcRoysZsr2j7Kt9b0oEfNZ4MO+W2XZHnqbNVBxKbwkrekCYrejnUIS/zySjf7AwD/cWEIN91Uc
a7Af6DRSx6LF5ep6GxlcbRBzBUcmsvfEtWCfBObHtDLob3K3IA0Yd8XNiKl+14LI37XLr8PEdAnm
zIdnOfNutQPHjKEGPwd16CU7YBisws5IrsIsTYfemvnFDpfk1sFinK2wcO6CJqftPBBiUPMgIXhY
C1OQAK3VwILQf1EV/BdvCy8JvZhFj76ckj+vs9Z1szSPUMX6DaKcRPL8mgqihS6dcuNJFsQ/fl/+
/POYKqJIp8Tioo7b7+ef56YFymBdyl1G1DjzbVYDsrkAS2/sH5TGfv+Pf57158KSa5vkb7O48DLM
+zWkz0feVosocnbomABnzyhDLXKxLgQ9kmigTXWeCEHeRq1LGHDfHJqW7cJNcaWWOYvfGwtGAaMX
ArDhvwU9B5U58FGbpbOAP/AbVjV/SuyWzUPesl3LYjncZQg3j1DzO1mUb/OyjUDvIQhJ8NK5VvaG
frHeJi6q0KSMjU1Eb/Kp9DnsNKwiwpzIsW/tj7oMyo0e5UfqZW9C8bsbJhS12Q/1mb6W2EI9p7FS
Nk+t5l23DHb+H0drlVJqNX6kYBZCIQ1yBPcWIt+FE4cFOOCUVLyCOKgz8zx2Trcv3eU0JaxiHVXU
JWnMOdMD/lpBd9Lwsdk/mryfvxaa/Y1wVaZCNa94Ss7vAVU8Z0/KtttCjPsUx6mx47nZ2wwgIQML
rwQmzVkfGERP6Lmefv9/M953fPLGrvGWmFq8lv0GjmNNoEkyr+bl1E2UaI8wKzwWC9tFbI3UA92k
eYgTvJ/O9G+smgF+n/E/gy7yD63HCi0U/8SMqCCKMOg2gL7dNZrvbt9EbXONLVREJD2XnAv8mYa0
kutgQOWoBqvd9nPp7vEoBUeQGjy7TPr7TLvP7ux9I7nbWqeZI46szuGCp8besoMtlujZ3w91RskS
U0b/WO6By+NDacpPMDgFqoBKR+U8f0VSFJd2Po4fb/t/t6Pz76Yb/l9o6cSvR7H59/2cq1i9NX90
bv7tC36PNPJ/wxUpSaWjQWI5VBL/btv07d8oVdm6lyLDJjmQjep326bwfsOTSWfdoudAuymQ/xFq
JJzf+AqX+pYJyQ8f6D9j2/TdXzocjiBMEdMmDQ4MSHzLpaz+Q4ejZhW1BI/Y+yq0nKcEodGmn1Vx
mjBubqCG9rxR+asiNAuGmu+/xuRi887JHi80/+HsC0ZfN6p00pdEqZjgDO3e0GfyQmrmDn1gK6ha
F/WZ+yL0CIZkRMN0CVOAughtoUCmwezuIyrqF2Qh5Ycuve5FIcoDJWaL7tb1jOkOJEO2ClrTWDt1
me6As4rTRA/zoW/H+uy0RXmaLUY2K2ifx2iAu8Kxaiw8CS2cc9W1yTnJAiQtEIyKpzQOtXlkezHO
ZsIPWksnGeDsuOQ1K5mHz1OZ1PtcGvLsBkhA67iCUJQYfhrTj53jTyTlms+hnBfZvx3xvWm00anP
EppsZFaL9yAKM1xIKi9PTTtFOzm46VWLpHFWSdvHFzNPPGfd4LtYwIM5EnfXbu4NJMPBKoebdh/E
HOrEGBY3he+kwwr1oUpXYpA55IZu7j/ApBkPIZFI9NnicHzj9p7jRjcg0KAkmuurmpacpdr0GTuE
uKDcdaTgd7d6no8uZIZdP0NphVkM0oLuog3byysvXIXlMbEs+EE5Zdcuhxx0EL1E9zzZH6pbQkxc
RfmKEs1pDvT+MKqiKe/JnOlMPl3VByJdaR8SUAsLAW5T4VHWmozPKRkfyXLxdoNtN++L1CLmaaA3
6UF4f6vIdH61usE9QXaJzpLUzHvY4+J5pE1yk0qC67Dcm56xQ7yeGNsJ9Cu8WgecDDcTV56ApszI
6KcAoENRbYmrgg4pSyc/zQO1kkPT+YQ+zLzXsvLONh6OreWSYQG0MOMWIbtHmiJqPJQCNmqsDaD8
NLIZuycSEBV1i7pFaQvmykv97kY2vn2RNQxd0zLETCAMQPK+JSlyVYw8Ur9xIYxZRgCMIupxNaXB
MF1CksNQuoRfgoY8eyN1nFcPFsqZKVp2iEQjFpWBFVwRH+NGkV7BbKgaalmSQO9XuJKDBEYDRZmn
d1ZIfCQaf20fW2IpQFMsjoJ4HpoHwu01badka44c7LKqv1TkqJASVuabuhuMT7XTTGuE9Sdz4ujz
eo4hOTu3XYo+l+7NLg9g8IWN88I9Y5v3ot2VpUcHUnvq4pj+CB2q/kbIR33lLHmsm+ojiNtwHSIf
zIIeU09FoIt2xtuc1CNPVs6ayMhhhRcSyKbb57ehxM2FDM6b3N0oRIprMyciNHamGVJTq/eEmROT
6EC/Ru1cr0fTHtkQcgV3H3XsBYqZu2UZDs9F4BQ3honNtyGwgfZJ1/f3nUtAzwrxaMPgzUSduIqM
yf/Sw7sG5+R3BmOXLlLfICea5obdhIyH0tRdcCJIUqm93fNwYGVmxrSDo8UvyRdJc1XaUUdCARNo
g3QFROHrEYvQe2wXJBVaXOpoNklei27aW7l09ubgmFv4b9bRasCkDiNxFHlELtAq0mH47PFo1z0T
79VIl3bngxbnLqtGZjO4gGmxJF2/I3uVEHDUaI9+0ugvvlW7SIfjZjjnQoCb98L0LhR+uDMp4z4q
6MwdaEgJgk535rzD7TJt8cCMaLuFx4K3h/61Aod3qFN3JDhApzGZpHG968s04nbbeuKmwTiKIySI
D0Dwm8+OaCSvwwykOGRAnVdlt82cYng0M4wwRtanJy+v53ojEhiWSJ9h8cGuvaPHxajGhozyNYLA
iGswOOhInqGTzJfOTLPPjYha+DvTodep8dgTmU6Omp8+zPS5b93W1LcCjcjeLwr7DrlLFXfHnIh3
IuoIq0PFODwHgT1w/RmxHCaTVx8RsBtXsy3M6mzzNt2OVZNdwBAndKdxsJ2cMXsNg6B79Yw0/VTH
fXnDY07v81Q7Xzqo0yl8dBPBQQ3ZmQY02GQ1zEyaaWS18OCJvhlJDFm3cMyB+etCb8awj7dO0J+z
WTtrpQeJmGTQ54bpXAyxhI9Oj2m2w0mnH0Pd0cIgMiR98Yls2s7V1N2SRU2fPMs17MFMV+vWTZL3
OlX90Rp6PqTckPFj5kS8ZcvP9uLYvmNUIHZEu80HYVXksY5q3rthxNYHVnPGr5phZQC61NHbB11z
8WB1LSjlbD+MHPdVU+8ssux24ErHBxW0Mlp1BpMt3/fTY6DnaB86islkGGYvaPb1M9Ew4qKZBKUr
i2CTU+UAxFoXCjc1d4d35gnpxrTG9Cu+pxr7Gqzo5wlILR4ZSo9iE9SNd5kqP7nBGjCjd2dvlSp/
s1so/USXJNfEaaJbG4IRuFwdRtgGxiD9MrKf0k1SJkauOSrKe6gnVncc6xijPu18iGslYaW4Lt1P
bZ0Oz1NivTc90TD7OCSI2IvAPHpBG333+i7aFS4UsdUsYNPNLdgMpjHBBDbFFp+AbI1PHlvNWzh5
MZuuGGhX+alZOCuP7tazNyfZ98zOSOezS/IpFCr2Ku+sV5VwPz40SW3fdnUFJpdNdKL3vHiBk5MG
qvY5CKOvS1YAS8s/I3IkeUQwJxmM6FDU1qOp+ZznpBxPcx1eYe3WmDTIcfD7UXM3rWbxmDYskkMf
xPKMQ8Z9HIBxrYy2F/ukCDrSGBOKDkhv7VfSW69klPBBzaI5isqQ+5r0RbGqyTHbZFilNoUU4z0S
rZZ6z+RozQkEqjhTnkuE8zuLkAVcp1Zzl2HteaZDb3AjDeQqzQoXxlQGO7aUxhNBB9vJmdHomMK/
H/E2XRs4/KvYjpMXa57FceDKtm2GonovmoTBHWjgbUS5dWBySaPGzudbvBbl+9AK7mStxi8wuu78
2CwhHuRtUpiI9uBEprqosicTbVD1l6Bo9XkCwPXhIfJeV6G8rUQTn3OD474QtfWV7N4fnFafq880
tCCZ58GIz1keRg6VZDp9hKE5XjRgx3gz5YZ7pcfDRgJM62s+NIs1r/XPUYggdcRUeufO1FEWQ6Gd
11nQoxOvuiEEEqwP1jbcMQ7Zuu30nrua3Mmqvva+3R0sE43DbBmUA12crjyySy7gtIEg9OOFojPe
JEHh3GaDIKuiYlsvTcMBHcys14svqDG+4ix4RzdxC/W/3eVlR6i4E8XeQ1lVoPnryrR2qjbO7Im0
T6HNKzwa7Kurcp4KtJX0iikjglqfPbcbd4QwGg++Odvm61hp3zsNYUsuIKQBPnvkJx8UWWUPeiK3
PnFI1ftphALqyTGqTzqvqf0aPw3eMdJYNH8bTqMWS9Ij11MPfXSvb8zWuGF6Jh8oJudTEiRqZZst
pHX0plRzC7Hfz5N4XiO5acPVCLX4KUut6JC3tCGKjL7H2CVnW1bulR0B/1cd5Rc3EkODRsGOP1d8
xUXk6HXX1Jn62nQ+pqHKrL3XjMr6ETxFc2G9yp7aq5t3TT0P96lRxyPUb9oaNFBBYlVuocU2pMLd
gNmyGvDFRfao0fARzkHc3ysY4fxityn4aFI75NUuqVDSlC7OimI1FysVueUdBHHprtu8Dd1VK0c6
eLicIr2NtFlilQsr9WKmyjo3VcVoWpmOcYo8SgwiKY9lmuXXgUFktuna/EYMrnfvR6aDxg1nnrdO
YMG/+3NsfY2q3ifiKvVeQQn3R2TGBuYaNybkJIdyocAzhv2E7hL4zabop4KhcEVnBzyx/9TOjepW
DeEe2wmF7srrSn/n1HIfkLa1gSPcpNi9A2s9J2GzZ9d6g2HVEc/al1jjHLVnNp0T3NTtlYjuRC0/
amuIDmFRGseJVus6BUOIUv3gyPiqyzFYDW6VbzKyOh/NsTFgXjYkAskMSbeJHzBzsGssVwzPI1rD
6TGRlbuipDbkNyG/qfgwyQ5gtoLzwp2Ipk0puLkip6uYCNtNUKqXoBlJYlDRU6f0jGUlejYoO1Zc
B6F/J90tt3Pi4Ef/xhYMyHOyW+yYhhWXka8Mmi+pTDZFLH04RDFngxl96UpxjoB9r2TbiE1HIDf9
rnpepSWWTS/N4b2OFn4AN9SbMM5tAunIOknBvTGWJxzQDcYSL1zDMFxssA695UPNYF8dsCCqTekU
txrv7N1o5+XWVaYmUlU7+8oOA1CMgbUaxxnPDPcm+5QUbfQQAk7aOyEsv6ge+m1t9j1k09jFr1YR
CatJ7KQoNQj2nixJNlYorRCsQDrbIP96nwjVjMRyd+4xUQKRJiS7IT4wnQwSP21nODiGF37qLdF/
bpOCnppSGReWBFPHeWpnr9poMQz3mZnkautGVfApc/LpDehseG5dOoGHJqxWFDTyczRWZC12hgyY
WmguOEQFWfGDW0UTWG7b1odqMvFnp4H5EhVt9tiZUYVbqHFcc2+kWXuiXdpRg/ptw5Y3VC+O0z3a
M6+i2flPXZfKMxsM2eoxk6Upq98QMkGvcGGydROtUFR028oyh+9i7pWgOjX9a9Tb/oE7VtGx5Co0
/YxEF6AbyuqyCYcvrKx4Hcsqrld5rva5O7kMWTiqJS7pIx3OiLwQMR06OpwmlAAr2EJNqs5WxJ7P
LmSOnyKZZq9lFsT72O36AstU6z37FC4OqMc8m0jbIwPmf7axBgno23+Q0/4fAqpZ2Lso5GmO/f0O
3PUtelv4aX9swv3n1/3OT5O/CUEX3nPoucHccel0jd/b7t/+NVgacWi6WGDAwSjvGI//eyPO/Q2D
AFCZYJFGogWme9eSB0C6uJC/WcgY0MYLjBR8S++facSJBd/20/waN4ptA+cKULH6EMp+mdFjrBfm
MCf5cY5t8rO9t8iLA1DiTX5VzhxCN+0lton8uawI7JW4fPe1OWVvkyM9qN7w1KbW3ycSfaiqxruC
CAO8uf4zt80AZlWATKpfpHQzJ8aYOsP90Mh8BfG8QfjdZ4/gXAGsB01z8JXzmgztWrTuzdzqjnFl
jE8hAX06hPc9yi4XNz8ZocRx2wndMgXnsFna8R7hIrk9u28exOT9kAbbthRoX/xA33C5gUA5dqRf
Mg8BZMxwzPBHSr4B2nLi7zRVfbTKAGPSC8CEDN58MWwamzIY7wkJOPAJvo+kDI5Vfsl7pqOteGCE
ciZ0kfxbQgZxOX5ICyy2ocKEMV/q671QzWPMs70t47yEWGBUe0r758mkjWKMl17yMIOusi+kzbZI
M9OrU+BBMkK8eFV9Q6RHu/bNMt/HU/etErO+hp/aAOdDW8PCANN2ciyVXWej++TKeZPVPTfjDaoP
kkAsv/joHKQCgctM0LY2E7GsxZw81UFEZlAuNtw3og0WyxXqs2hjaEJg5/7eEHJgGtROz32sJVej
fFv1AsJsWnJdBCTEPZeSqYzUI7OsB2UPX2lGwuBunWw3TbOPdih3buUPGobUTIxRDq6ZBgL36hg2
ME2QR8EV74kj6cFOa0fBWHf6DTv+zJ0+1ApaR1ftGRNGt5N7E+TyGSs2rqnEBRPcGCQNDAybTedW
JROFkfsSZfMV8sC87vrJ2Sdjc4ma9mgASDB19DJGGIyneDvLOeajaq8N6cIk15owHAipC+yD9KqM
UGB6Vp21JWJnbTLJWNUBoQbhxD5cifo6DybH9zhQytH48n2GmfNxamnF5p/IGJpgyTCFn9zlZyfH
2jRWTVaZz/RKgKTPg8RBifdiVygO7dwfrT3nxaqQ1psTcjXQVvCRJcGNneqVY+YnL6zv7M7Hx5ps
ylQ8NFpZrwMyIROzD/d9oFmPgYucjShPvu/sSRyjjXGrlS3vrFF3uziw1L5gcv2tWlLegUfE3bqd
pXuX1XZ1ssN2PnPl9d9kUyvmeiQCGdC0jly7+iPItOwlsTHzcgVs44sSBLCqJGoOs9dET603kaVe
dO3RLs35FQATrpt6LO/oJA9HzyuyL+kceo/aoSwleytdu1XhnpVbBmemQO7Ocsdx19HpPfYG+VL5
4ORPS5bFEwVff0rMKn/OSZUn2Ew0RJJUQfPWhQO5IZYaMJIH5HBIp7qkgz/eW31hX6Wl+1OHu/zV
SrJ+60XlBJYicM81AS7HRpF8xqVSfacr02PshCH3zqwvJ6cSYs2N7kdSxKqAexFUoHMWcsVYIyk0
73x/Mh9Ge6ivMAisS05Z9gy8Jripce5ceFW8C90t85I7JXcIxDgWQ8PK21uZyK5MWAjv7rr5HhC1
WfyFuMs2l135P1VHvuMjNXdgObJxu7ByfhWJkEsPD7fV0dEHzX2tnKYcjgnt2GttF+SHh/i/Kmvk
8iEsYiTHlGYRo/itBAGzpVP5jNjH2JHvSM6Dl7TssK1FK5a0ux10HwDMThy9dmFPlx+XgrxzCzM5
d2Z+9UIX5U0d6LtqwfbD2spuZlAVK96kZxlChG6cQB6waORrBopypWb51DRKkUI25rduHyFCHOc+
fKrGURgwFWcgubSV64IwLb4xcAK4Y3RowSMWGiXLuo3DYUJUDoplS+pU+Qr0gmwawuLKrdRW8YzX
3X/FsnJqsw7ajMDD7C33YwLfZ9vdVMUs13XnFRvgA0w3c4CPNmD3Obc6fiv7gUbYwil+DGFIIbIw
uxU88hOurGmtYQiDkOIOTUSAZiKezGtL5eeWgM9z2JQXL2b5xzEBxrTCGe3GdAN7Lj25zMsV0QbR
NzXI8VQMo7MzmMniAYO2W84JUVOBle08lSYPlXajDRVtfu316O0DkkexiHq8VRq43YUerXehqm4v
GECCm16a6pkwEHGJYre+pogeH0rLNe8gggt0Z/HQnfmspws21hiVRhfcWLQ7xpWP5POdsdPgrGzP
Vt+RCBXrqQmnXbOslHlZM/6yesSyjvplRWWt359UONnX1Cim+6qOa/rwBeezAtRbjRyV2DBa5FU5
+QjgEIGuLCs4WNYyvVJYN15aPDFgnm6kxelTDfa4q5d9ANVAQMrC6J4rp0zXQ10s70HtP/rLHhIv
u4le9hXaSuXaWfYauew63bL/QPaPnuJlTwqMiomab6FeJp9q6a43OSmquj8mJK6jCRyjc9b1pGl0
rv+WZGImC9uoTqabencqBz64eDP6MwWI+w1IpdpPKBN2AzjnO/61cduT7r62ShS3cYzScz33c0+i
EBm/oNJ0QIWSBhZ/th+kmbUS0lsw0THWiA1MLpcOTWQ3M6pHlQ/Xwkv8tSlrEgE0fUG9EQE334M1
knN3KnQbVS/ojMimEjKtOtRrdtodyqgh4I1A6QgQVBs7sLc7n+uZTTjiyLKL0dabkYEgzldqjjbB
PNURACNJKPokJZ0Ebj15yjJI6LHWnX1rG4O48aNJ3nM1s3bLfHLbIMp4aHUjSWfTYW7uoXxlZOY2
FsKjMCkDdNRV+HVRbo0bP1i6hAwWSD/tc8D/aJQ09GqPbfOzznDIg70urCVDJkkCXjGrtnDvdeKB
wSvPpajvvZBUAZ0k49ZsZ4K4RHGgsW3uEq977gZCxxDlEqZ2g2etunFAxawEmqU1Napaoe8L14BP
yFEIiRuExDZt8pL7ne2AhADg9gUJyMj8gqjbwq7XfmNDwCCaLzTr8QpWTazdtvkae1+z2ghOM8mF
7Dez2MCFGi92id8/8cy9p8p7J7AektILNlPm39GkDLF7eUw0iVnaMoT2zh23uAMMa9w1sX2ChfdQ
pj1nXmzZF4Pzf0nc/Za1tGX4jKJVMldAq9R4x3H+rK0q/pDOqID26WE1ZqU+J2k3rqax7D5Z9Ms2
iVXPH0Fp8Q6Ck6Dz1pIxlSBujL1o9f/veUWHWPJprr7/27++vecxO3zbNfG37qf7mrQXze7fv+Sd
3vK8/5f/9ZZX//tfzm+tyuOfRBeo05ev/9tlz4NujZcSuRVkLNwiC+rhb5c9j8seriMMPGzZ2JsX
lf/vlz2bG50dSAvLAyItxGgo0X6/7NkgthHDWsQRoeVyYVP8M5c9x0W/8YeywUAIsvjUvB8Oxz+o
LQrRR1bPlHifhw1sdSMcmdmTQcjYPGYfd1K33C7R8DHGQZj4q76FZUJWZn2eJ3JGyyiqd7Py5NUt
iLcyZ2KGM9UTx7NE1RtdGOXryogshvuSJN+wNZFbhMge6rKbjznX7FXWqvkFzWe79zplbtvaVAc8
efWt1Yv0JWrCZpt4JH3m1gj3q8/ScxARYVhoRtg2re5tXigcfBgZFjtR/OazYZ+9mMAyfCNVMKBz
suXGhxGzx9ud7wayBldsCtixxshOHsu66MBYYH+46J4byVqVU/c98vyWdEY2xKeuMMqHbq7j+VzX
Q3yeG6ZOlUBjG/pluJ+V847VS68pyKYeghOdVarzlN1RVM6+VG74jWCfgRxwR5zrZKg2JNHoVyMd
ki2KFPtghak8pZ6an/oUo+m5jeBdrIMMwcHW7HOT7czNCWtrnH6lRIa8wRjDs6T589VJ2R+6tkJh
xU6/TrqacXRrNt/LpEhfPDlXL1Ec9AfTqcRnSorJ45hBTEPTcN7rZTK+rrq4+dbbfXiye/rNe6Cb
mNwCRU90NAYTIBHIkSfDyL3pRjtsz3t29OBjtrQ+ZKjQiZHJDHibNNLejCpOSZhZsLVGDtyWugoa
qE74LnFFJi1DKsibbQPApdBQi5R2rY3OSAxWy7+0XUHvPIp78eCKPv+oRz6FDfye6hPamAmZclBX
0XNrjz6hXYNYAIMuKg6uEzlAKSf1o9vc9exjkNfqTgrACFYFaZGPuxwFj60p53Xdq/nuB++8bQD0
OXxLcdfwK771iIusrTQ6QFRzTZaFZ3TTtjBoWIbag7ZX8FOOygG5iwoy/Jgrl9+pzQOZbQdLBcYC
ZSzVNhxr8eC5bfiGDCX1VzLEGy4XEprOY5q9CkyPu7NruOJhjBHT9MrmvhSAfVZEaBPa1WuaoELo
+CF2MkipNaFf0Hur7SxizkRZWkWxyrixorYeNeCFwM96EmJ8w3zHAD+/aYJRnm1+rNyAtLc/zGD0
WdKRLDl6adeSMG373EbtuK1C9ByEQ3DfKnx7k6UO8Ut+JsoSLbJ0DoHMh3AnDM937lRMt3PjDMTg
kDQ1uQqWWa/UNvMb+ciMIOWkrYw8R4jVwtTmjPKXuO3e/D4ulD6D2CpoXbmOGNtHWGJXhhnKk4WH
F+BGFoDGnqZvNJ2c42yV8ptTaPB5BKQ+TJGsLlOP7UxbtXPHQwkQcPjV9GmiIfDm2D6p0S4ZO9Uc
ImcUpP2scDcwpUoD8ZjhkORv1UqQHT0OfE7TcqMjd2pcVCaYJYj6Bcq3HRvdHwJlRI+BqPqNGKrg
eyNKgI5TRzsl8GL1NdbJ+DUKSWtz63C+6ioa7+KiNU7dLPO7hFjdbkWPaBmLWZhkDaIzp1Xn2Tkw
VaYwl4wPaTPSKvnCNyH/SJnmXZtYGKqc4Au+xWqbUZ5fSNkpuGaTvRyTvnIhakx+wWjvIdHsIxQ/
JCWRD7WM+SuPvSdWVTqsLS4k83pAln7Mfbs85YA6SGj3lk+t80R4SRJvOsxu7G9Vk5sVsXt+eJGt
lf0f6s5sN3IkzdKv0pjrYYKLcQNm5sL3RS65XLtuCEkhcTPui5F8+vnomd2VWehuoC660H1TqEBk
REgud6P95z/nO+6y1pA+2Ma6Tbnm1dE/8Mj4T47V0TbbNP6FtoT7Mc/VMhyGctELL9/YGt31XCW7
8tGxe/+YlXJYhkLQMGFG4tDZ07jW+07fMmBLutqteG03scc9skh3oMbtlaTgg40aN0c+6vW6mM/0
fEyZ6VtWU044iDcZNnLE8EhRnq0sEK105N1qnHunjEjXnd9oNXDYoMd7XDcXm3P+XIU9UaG6oJG2
79JqS5mLODudSB+NRou+Dda8LF/jtF8TmfBBHQ/JDoxyvKNIXm1zEWqH0o/snVBmXizx0A4Un6ss
OYV2ptI1wI7pM9T8ZsckEV8yLUr2ZBnu6axjg8VpKXAGJr75xnPbRwtM6f6y7dG5B15C1KYJ8fJW
PnqO1zZjToVKOzxThh79JMQcL11iBY9k+FiZarryP0PVJJCga3FrYMf6UFnmvEAWZUOoTx4z3Zjt
WFFMUCVzQ8NKQIiENK5y77PBcm9kPTkraU3qpq81cetUlB/hYTLoGiBGwBQZqr1vxvEmjHBt4UIK
w4VttO3G1RJ5sd0mY7oJIopqy6j+xv8ZR7cmlNEPmsJnrgL7SBMrYGEvE2sYbnAfkJQcA20x6p64
wXTXv5lNmGx0oXfLiafYtvezYj7jvahc4ORIlzhB80NFZR0dBgz3HIGV+W2RSLqNPI7ftGH8XOre
NC0qaP5fweRBEZlyc9OrSjtMzGjfGbunuWG+f6hDHkMLgiAp+c3QO1BslX6Ysc9wlPtmeBdi2sho
g6vjTUV4YxnWjrXvOkGEtCnd7ugqwzj2ma6wZesdK7Ek3lL0yEk3E4r2sRGmN0UVDGeIrc6WMt/k
0DhexavZVk+ByutlxuMEW/sY7NKhaC7KrlEeyPc/Nonfnym9sXZTNvK85op69NjyR7qR45fTKMGc
cGJi63DcG5/n6uc/9xr/39AHTbDB+0/XMLuPevzIP/5yq//9z/xxK8fWzI2KLAyMaDL0f/NCu+I3
AWlI1w3+CeZ0/W9eaEv/jZ2IM/c6uK4lLPdPXmj3N2cudAEaBidu/p3/93/+UnjR/N2v/yXvsnMR
o0/83/9lu3PQ5G9aHp9U2GPwvm3+FbL95Eb5/T9dzlOCOCY0y3ybQJe54/quXLI2ebbJGZBfQzZ9
b7ZXyn3uSFaSfhVgXxrEvAip+h1mZH+flHX74Av+jlnO858LXCCv5IPc22nSxVNsB81Jmbq1HzMr
+SR0YVGcGw77nP/d8XFF1/B0DpllZbTiV8p1j8LBqmtvHWoFHgUrmArwYpZTBFpi0iPp82hKYxYC
dPMwG7HOTQXhtcPwSjLTyShE9sKFUwbJc+bZzaHmo/HMtj45JUlG7AErhKeh1uRZxZKzj71FknAd
c1y6pezUM5dWgrmrkB4RvJB70SJ3ipB+WotoehMXKy6JcmVVHT0/HsTRuK2hiVNjedsZnk+/gbfy
IsC8Y4x6htOqPFlRpB0GqYuNje32Vpi92PRumj70rd6eihbzROI6+W1limYfysZYu03VX2TOJh5V
AKSIpC4u7ezboKslB+zQb6uh89+MWiB2wHPFYWFSsWZW6Z2UVr2zZw9HW5cjm6V2+iCFIrmHJfQR
yYI7R0S1PMe5XIN7xmnKDvApSMufPG9Bl+Qtss5yyFL1RuQlfG77UL2OUdA8QskLvo1J8CAQ3lT2
SLEGZbQjYMV47zBFNBsUEv2Nyyr8IoHlBTMx1Nb3BI1ebFLAZ+fc69nqIRAeyaQM67qkPRIXzQSr
ueh8fzXWchSgxizNmytAKiohuim/QXPKfoxxoPmvN0xKzwuDjXxDdsvKBFzbwa4e5MjPRVQzOjmm
NXagt2uK2uJAg7V1SmlzXWUMTi9IbOG6AUr64vZJ/Iz5KFw1lXYB7l4ek16ZPxoNf4uM7raBCGgF
Mgri8XBvmsmvKPLeyVYFIGgnClwHNziaksmvU/lsJEwK5PugtXAuAJ2yT33fJZeo8IxVPDXjgYCQ
e0flzLbQUvaHuQFIwQ17apjM/KNGhtmNplC7+bl1U49lureZHcxwCHYF/JOQ26Xl3CvfK+5Uq8bN
6DjDoQoj+y2yasdbM6bR/RDb8XNYynSfp0q9Z3DwPhQSNuFaVoxF43lHZVXAgXy1mpHn8WBUF6uf
w0yd7D/oEayebTjd27rorLeyL8P91PUWoSDycsaiQGg6Ce580Yr/tLwNG5bPOC1FeLSiAvCZW5d3
9hBjB/PK8iWglmruFtK7nVnRn77UszLdsONZBL0+JhhCEf5CLTNC7lyZdUdmBAvCwHSMQJA1dCmb
hnp2stg94GwcwaBrxSlwW+z4bWLexeyPT2XOQNVGbX1oyGsbwIsSG0mtLJ1TGoVUunLTNL6DtDa+
PWdsvzvHrk6mAUyYK3I1GSQEKU7ucxafQA+YG5fK0dVTXEd5tSXrpcslxirui/5o+Ct2daiPgZXY
x8qanS5d3tsnM3e7dSEtfdPNQPcVaQ4d5AybaG+ZJ1G5biHvxHTCat5t6xGUhB3vWm9AKWd8y+CM
+KzsmvLfcQrJqfUSm/UCHKDHp3NS0Q1advFq0YLEvSKZW+u1nl41jLMDPqjQfBc1RBlWt030NhSe
JRYciNQ2unkC8GcB2Mt9G3OBuBdplgdMG3NXWhnqtdLhPR1iHLnOQlG0uGelZAMF5mbPEgCr0CeK
vAlJ1i7dV0qzMo9Ullef9dmdZRXjfGirYORgxOhMmUhLUUVnUia49Ux9NjKZvvbmRANzbVoM7NDJ
qwzDyXHcTN9RGF4Sx0XouVUyqaL1AHxvWIemgTrbaCqptyOuaMQcqHUPsdPjbWHERM3EKtN86vBR
E1YojhNRvG2b7UMZ6drRraeMvH7Z1mu3iwgIJBUdiDo5YeKEEFbf4hrW6zKLycktACITQeT6F2GT
1hz6Sxs7SOkXNxJ89Jbd4y5MjQP+V2dvGC1Xa7iEww9QgfyFWGOzLfD0yiXJIGysMFHkhcBc8NIp
vzlJX/zA16o/7Ni/iGFAn5io9MWzJQvy+nrmM710w/vo9eRsRNc776LTGw99Nx33uhO6wSJ22RmF
Ru9eAtb63jlMA9DXo8iMihrEWm2YAfgGasj421T6kPSRkh2F4SxLnsiXDEcwOuGzLuK8wmMtGvZy
uq7wmtbqG423W1iwm1oUY1SxKFI2bMK+cSl8NBp4jlln7zVN8rmv+SC8lvhzH0d4H0eVuRR6ZEbO
G7CIBMwkjP39NjBC46nDBHZKM5sVZKrpSbzOnTx5hefB1+xKLzvQ8ShylKo4wE/Avu9QSFm9kCHI
xD52EamXgUvt7RLlUzbUEDXY13J+cJolWfoBzuQLtPtQ/qq0XtIIXSXTba71fGLawGB7nMvuyBlq
fOhGO76QmvL2MhcjaRV3Sjh7c4tBmL+aqASkoDefP3/f9BjT5uYXtSU8q71VkieUORJ4yogrfsOF
tLdBnPvP4TRoT/S4yHthDWEDGZ/m6Ki1shMrEawhRcAry6Hb3iWBwD+HGbR97nsxtqsptop3LS1K
piEDaz3bcOvBJjXeLzgVtc+8aseJklIdkXTwc00szcDjqoCAJj8Yvqdyq/V9glTZUq5CYVBRV9vE
zPTXNqsxgeZ6/u1GwsteDBXMIedRuZfESqgocxXW0XrekzBOFenZj4AN8nI5NBbAzVEAWmmqgGoU
3asWrs2iIVu5qlW8QsCQn/ys8J1Ng1c+q6blKdC3PN+FMV3SOtJKWnkQUyEzGHNYp8SrrsF3huYJ
OP25TFKLsQxg9k2PFEdtauC64Q5B0O9uXMZNyig6J2xXtD+0dzrBLN6ertngmEij4DVwGOupQOoj
JEBeVfYY5XPXDETDVYzFByxdu0jqvDkbeG1OExMrMRJPNJfOkOVFeYHP96zr5sZhm8QnPoyzfUyL
6U3i66xnBE843hkYSSgn6IyNURjdXKGWxmsAoy03WoP1MWUeyZ2D79BYUCFkfkyGWzxrFVw3ZNNG
v3XqgVfEl2l1o+sDr1ApynhnDKH3kcbS+sJHxZcV+gkCjzGwGUePjlao5eEXtii5c2TnP8d6XGyj
qQJUpLXmbTpZyUmOrLVXmi0n3CUJcoElyhT3nkGYJktIC20BIvk3UHu84yBatAviLi0Ynjhq3pUk
b0gxAHlmWfrZd8Dcf0AoDD9JY4zjMmSFeEMigCHY0vfjxEZ+8c+dB/+n2vcYq0iEwBLHJcf/MS2L
vP1/vOS5+fj1kUZ/niD/3b/gj2yt/ptlesyNBgxKnkGzp+6PLY/5G0sfFjXghuftDzPjvy553N+Y
PykKBGlCEt/70zjJkoevjhWPbnGgkof9hxx9ns0m6U/z5L8tefhr/jJHCtkWqZG2VMAolwcwX7yz
SEpI6UusNRUpOD/Hj6/l3hZ9vmE9b7uHwvRIyfbc5W5xB2vtIvcQOFfuIOtnWws66NTeyAmSocSC
+KBlqWa9IhexqvwLbrnm3k11MZCEzDwdW8FUMCqWYQi2hUB5sG5AYBR8eHGwf/Zer5X7vijEqTFt
2n0HQ31QHpx/llEKsqYWSbktspwF+MQTO4RB3Tj6TnHLfq/HFKysVfjDuB11ThOuBbKv9mxWA21Z
sZ1JVl1pJNUh8Zz4fihdm8KAqa4ebRbFDx1cYHIkXU8oY6ydNxYQ2XkYjBGRuDfRVGsOWbnBrBuR
P7OZoKpkTFHcLQ0Pl4/b5kKugWCHnVj9V2Jrw8HnYXkwujC8kNfN15UXmw+mnXQUftf2Gbkwu7hZ
6my1Vvg7Ictp2+tDvg40xw1uetuxVmMB88EKnWFlOkrzNj2IrW4Rml30NV8Jop3G0sxfS9Pp4bmk
ajqW9NT/zLMEBrZw+o6RCSl4CcvqbTJTced3Y2KsowZL/TIjoPrkCsnc0XVZe45KX79lHT+oBb0I
k72giLXnxhJjK0jCXj0B29CecWYQaHSUqz95FJCMC9+pxnQdaxI/lBOZn4mhKHGdPEyGZpuGi0En
bpfljgaZvswzd52VgU8uOW1vEhZ2FY/YOt+5SRU3e8G0Xy+oYWrfM5Ei6NoEEr5DSnEf7b6Yj2TB
9YHICoOnS0fhiZQAIPawyCVhBV+Y25RyJv/OZk6q1u2Y5KzufOhzdHtSM3hSDLqcyewgxJqgj0aK
mEH5GxhDIFaRrGBQlBjPp7UDTcTAs56hjbZ2Xb5PQkavullSc5Bxj77LuMv3Cz41tHE7SmZqZzNe
4MgI6qGDmcl+Z9H1HV+nxT+EQdIeo4uNLanm1XfC16yxgh+GfbIotTSD7zRw2p2XVJ3xVcqeTV9U
O0a/tbIAoj//Vkv3Sc30dqbsybjp/CgPuAFLbx8p1Xx1XN9xYpRdvtLjjF83ZqPdkO4p0nXfdf67
KKYpObdR73QLMQSkHNSYPVVtKH6NgDjeBi6tHvNOgMc+jzMqgnQwJIlODngpjFztywizwyJCksRj
qLGGXpl5JfGqFGkLqsQn/zf6c5siyQfv24cJaK7SxjfWnittPLVD697rHSW3Pb4yWN1ZNzxAtGs+
/dpuXrjT6LdimKaN3TVtQXptcIDT1n5/r2mieVH1XFNvq+I4sfcB3sMKndRIUjpI3EFPXM3n0c7K
babe5ZLXgr0KdVLsWF/wHaXH3EhtIgOJw46MO1+xz9twMHGHWNPC5l2pFlJXRbSIbLyYJOuctdMU
/Zc/gZxfGEnn0okxTu1J0sh+cfwpwuHJHi5YS3sctqA+7K1RSn1PdxRhYJMf4xv1eNOvVmtCZ22S
dj3poJBOHfrViUBjii0TCuNFZWX80PcaThXZO8ZeV7CrRRPUl9hT/R19z8w7M8ZnFRZd/loUkbvu
GTY3DX3MjxhaCQxY4Mo3SarYjtA7FLNs1/Ef4VlO3vNYFXeJZHnUzMWMiT8M+y6op18k7AsPTnpU
GNs0LSx34YAmKFddWkb0vaqwfCtxc7+57BrUAW3SojJ0cIk6eXr7xE+HFgp9DI07XGP0acm2Gg+a
PShW6V5jIZ54sImCWMPowmigSt6rSfEpbct5bEXHm5DoCDWLbECSd6MQ5atdKRI6VVUXLAo70dJx
DCAhWhaA/8lFMzDGW7PUy2dWZEl6Mb2CEiWWYRw6eH2rFZWXunmMkhHFvufln9ZuPPczOuXYDztT
Kkvsa31srLuyKutTeB1sVO6P9FOF9OrVFUV/QxRGPxHL4VXZ6PEj9142NkCoeNy4MsXCXgVJtJRh
4a6D0cC4zO4y3olc73BIF9VwEH2FkZeUiDx0qnempd3LrFlK0nG3SFVgnY2wwVbtsThQZQVrTxu1
dNuDw94bLPG4yTIAousZ9rCpLCu5sWpDs5dmgTtAL1F8+uGu7ga8y1HRFHSXNv10MyZlicsKUMBC
r4SeUl6dJZ9uleZrXVpHNVAHu8Cwx58q+Arvy8JtXizpqUNL7Qu7j7G1uT6n+KIWhdLjVYh19MDH
xi5eGHNJp4i22ZFR27YNqBf0AfmGwOBjbaIvLknBBy+i3JeHyFL45I2krsCCNnSaLzh2cs4hW9vW
xgUl9t40MIp5ej/9kjwNeFDH7aPMJXnGqRhwWQfeUuRNeyE41v8IHj5bcu3WwfJx7teK+FPnyx3b
wXBntk3zZA22tfNSm/Q4ZjToUp4hvjG8BdRBy94/dzRublKpSKFNrlceDGaotTPG3S7wjalCb41r
JKY4GYgPVy0WQUjcfh+kJ2lzkK8TlaMtMyPgFyAEQLytdXBpLMEEGrQHjogbU1yl+yluiouZCImE
rKwbzyMqSIpLHLtojj3FZde8+rzPVo2de19g6cycqIKo7kQmvUue6e4uaVugYKKkZx1LCaAO3jD4
ZIz8vkqYJCuql8Q6S7Gl6nZbPum5Draw48dfoHC9ZlHqzpkJKG5g70KdHHTi3uapT/w6hg+wruco
GHWn5Xtb+zbE9qp9rMym+RpCozw7uNTwlSQY9FWahLeN3bhrq3AjcLZ6TLeELK2WO5fpvmeMPKQk
QQo9OWI2G9oqC7+DqIruskAjrdCVbraUJM068hCtwQO06Lo3pmt37fa4NzWQ3ToHQBC+uYQQK3aA
PT0nTqS9pwBa57xXMjyXfuJsI69074i6WAd/UOkPX299xiMwfvpTR+PQVI4N17MYL/2ir7320R9R
CyF3KMwVFvICNbb2OJJerL2NO9rqeRKOs3GrPPtgscNVo2xSRKG2CRRcgLplbWdWVrjlR6VuDHZ5
nA5xUN/HtYWgWJROCtZ9kpxUJt4gSfYhquODm2hdse3aug72rFn0kK3H4BCqNyLjtilL8WK6qmfU
xvQ0buI+60nEgJ+yFqS3vGMcuuRPAMU3TLLKh9zggX60lp1ZOf4yGFX9ppjEkxW0X71YxpMMTjHR
HywLrYMz0Mj9aVmYcfsRUsloLpTtGZe0d3n98eYKABNZgrQ7ZPJZiKi6lJVsqLZgHroko/BXPbHJ
pQb05xg3tndnzDaN+OrY4F2Ae4PnLjgT1ySwR14Gg8eInzMC58GVgJxsE5GavvpBjKs3xLv6RNRs
GcEqg3skvTpJ5NVVUlwdJubVbcJPIQyXg1+4W8dovYuUJurudHWosEAXP0mm+aw6fM148mczSzzb
Wryrw6W4ul3Sq/PFZ4mQsxOuBspIkgTfRNNG+NMxzJhhEV/a2UQzXv003DEn6sW8eD3NVptrFWvt
AuWkMNqDN3B15dAXaa79CDo+2huuHedq4JmtPPrV1cOtF+dIfXX7DOXs/AlCqf0QD5q4o3U1hILZ
IzT1VbHRaAVG+bP4mIjZTsQ7GyG8mk1GCNOlCYGZhtagn9sAcZKdC10SVMmvLiX96ljiXWUiwWNj
CrDk7K3Z2pReXU5wxGfH09X9VF+dUO7VFYXvgK/JmM1S5dU3VfmB/ClkTFDEYv/CVYdkkYSQsNIS
sIRuR/tJPVux2tmU5QQW/qxA5wa4GEMaDcMcA1c30SEcXF1d9mzwimar17wG5II/G8C0lozKeHWF
0QLjDidq/zRc3bNvzJstZOHVTWZenWUsX4IDLtv6a7w6zyYiRhee3CXrE3b0Ry8ocozZekrTEMTw
rQ5JAPs3jEDcSojPNWFox8TERpuwO+0FhZVIjqj7fqH1i25sOmiTrThAadJZtrTQJlM/B54MbIQP
jYSfoqA4LHyCPEswS8Tsk7S7FKKDkpRZErJgUMlqkVd6fO/qk1wb+EBYPNLIctQzk+uUnQZr0wk+
uaf6W53P5JpsXoOJzA/fzTprP8cZkgVtlBrTcDTT97Ap3PtwQloHJZMlB1VocjvhkSL91A6PwxCc
x6gloaLL6N5GeKNCdCaoB449HLyqVztRyvDoOGXK6+7EBy+SPm4wdknbItXNl6qeSMEXcUElLJtY
a4OhKA6xQIgSHxZcgy8/jfVPmyNmF3MtxZUO8fcE82qucrIYjmvA3guTtuJ2FVqT3BfUAaLTZXHx
SKDL23CFc87ss8SDmAprj7FNOxeNDXUE7M+4COHoPFYaPihYVqa5B6fsrV1EwUesbMFb5FCYtvRo
uOB4DGO5oNHXpw8yJzOSQ2YndBQ5516YpIkrj3z5wqI99GRrVreL4si6jWl29ChETJK7WlbhuLJ1
MlWR3rl7mCWUkyOdtQ+jKeOnTnb92ddC+4vPrnE2qAn9rpqo2dR+EmQL3IWRttCUMF7MtuBWb6TJ
3q6c5IRFACiJ3qNlZC0uuLjrTCIgkAGQp7t5kZRl28CrwDv52rA3S6dcBVIMR03yzaYuf8kC9b/i
yhoWztqWVvdS86jDNqIqucFlwN9JG/lDYEpSxFGnzcQFMBIExBTt6ynljZFlDqcCu97M0lPUMgo3
yh+NzEg2jujpdhPmj8swyFO5SsHrD53W3oxicJ/nx+e6T1Mvx0An2MnxUOZnOVUk67u+aH+lYGeW
/5vhXJZBbsmdNdrcaGQ9DCvdSQDeTmNEFopHSreSfkJp7H+J1Pg/KQMMagyu9n8sG+7i7OMr+pD/
cq4/fn03fxEQcZPMf/gPC4r/m67T6uLChREeOGhMIH9IhjbmFDwpbH1+lwb5nX/VDK3fMPGhY4K+
5jOFGeVvxnAkSEppwPGhec+5Yucf8aCgif5FM7xmkw3fwJgO+A/dEp/5X7RDExArPgB44KQKsdG7
zVjRC4uqU8J0+0LWZudBW/2zqiBCEmDNFsCY2xWBqGBvoqf8YheY79hcmfSPtHdd5mfbuUXsXdap
uykmp4SW06bVVwWSDQ5KxdykxvCWmqDh4mHG3DABh8RB8XL88nPsx0PUuBcAMrFaE6cXXwFAY7HI
hRNtei1Dj+hOMVfyo9B9g+2/0+4r4nDwKQQjTK5v4tK/0ztYLuRDulcnrPxfqeZ0Fmv4MdjWaJsb
K4ery61CDr9CYJjvnR10h6nhZm47A6HTpoh2tvBRHE16xfEH0u9hypM/xt4dBDyFUTcpdkWkG5B6
O/a3zGe7GJv9WTlptPaTAUtdZjnjNpA5weApiMunfiqK77iKnVOra9ah8rpHKrJ8IIWNd7bcSswp
oj7mVS0CFkIxHUcLuAo1U2nUsJ0as6TfeuM4LOFHpK8NFJ0Dz832kKfmV02h1ilI4/gmjhy8IBir
8cWW0d4aG3epARaA+5268Vzvrb2YQQgRKG7ETeg1wWc5sIkhzW1rP/3otKeMvehrwXrrxA+c79Nu
ERvxo4a2Lm4VnqJ8heBN/JPtIeWU3s8goJWwDMbeJgHDYPcroaOxfIFkk4WLSXod9hTAOLzhBS+U
lj+IzEzgU4GkiLyO8uaQebRyZIUhuWdQ71Jj9u40u9KMqxXGUL71kCg2mA+UnN4mwh2Cxj4iVT9D
WFYrOzayRyDlZPgaVmEtodi3ASPHrkNUWPbCze5iKROMsF6kkEWAQNSmQvAOmrVKXXNlspglvRd9
w4piWItpzrk1jD7ZdxW9JjLQb7i6ZDeqmPxfeGfDp6E34A4B2XgeB1Py4A6cR5VzueB241fYZrRu
qUrdvMciRZur5msC/olAdRCQqX81ornDt4ipvAvLDahq83ayxmyTKGeApSg78uIYnWl69uWTJD5S
ETSeY44Zr5mfUOyq1Xn3PtlRcaTzqbzMGdTjBLeChh2doPwA0EsgY7JOpgnO5TlSktJkO9wvag3e
YT0SyESy2g5sV58MOtZvI767dk5FTGudpMjs/2ZqbAs9PFuTIbB4WTPXCPJGCHSw1reIQHBKAn1c
zgr0kjh+/uUR3PMhZWjVTrNrseEK6q2HOj1PXfHVGFx70gDLK4qOqbdgcAuFN90qdx4omyVT4SN8
oVVo5Oae5JqTLs3I0VZ/OqvPv1vs/my9mwELf9qU/E5k0AXntGHPrUB/338WMEUrLjfBFkeCGS16
u5gT32WeR7wdc7zokhoilZlrUGGvcpBWtC6qur4VtHha9AzmhKunXv0EWdStiHfLo99bOERAHWMg
DS00vQo+S+MqYLqOFYls3bZEvxbIjemF8AWf5/T62baiBg2LcKhw9uBGrYOySRouVW+JfN0JLX3/
z791LoJ/970bQO8gpVMO4wqHh8/fnfiAA3AjgsbfwkaGpMQMmKXWg+YN77rQk4VBjm1pu2F1w9Tj
MkLyM954/VDybqjLHNR+aNfEKKYITW+cgoE9uK0oNZX9N+vm8DHKhnHvVtxsWR8jhlXD0uzqd69p
NwWLga2dNwdTmt4SePJXVQ0FhnGDpUzn1Xtcl9VKMokefKOJDmYFtH/ZpNDT0zq19nnPxL6kpKld
8zoyQKFqrJCe463tD9m5c5X/XkBcfB97vd8oR+afZmZ1t3YIn1SGdbShNjrbFq1yX0mLBHv4z1zQ
CRdd+KW7IR8QvyaGFR2GXkFR8FuPTIdjo8iwxikcNCDTU+Oea3OrLRRbi03YmiGjs5aQ45sgg/Jl
K5YDabRJyRBua2U7G0DW05qm6w5ADGfkukYJfm5N2+BC7pfP+AT8VYVP4oetZriK2zQ9dippFgMF
EEecH3MIkMXZM63N5h0Ya+3BapQ5F8aEPFuARXxXSTE8s4txnm23yM/UMtZn9LP+AI3e2BFZi26C
Sq932B/3Gd3VbX8tm6jbZeU1A6VrnYGIp5S6H1SW3vYq7yqkNyo0IoG1k+qDYYWTsH6gfw23tjmx
LS8M85Ni7uCRVlUs3IF8itpEWWA4bTUhvkzZOxkEdSII1N5MdRtt9agZjnkIiDzz4L+yfY9vyDBh
d6lpmNzURjIGyBpetNTrvpzbPII7zEjlvYMzFjaYEY47O4PWZMMXZLZVjIbQJM8d5V4nh6zVKmpy
HB0hrIPBcf37aD5FZBVwXXH3miMB4OZ3oxk9MJ8S0pbZVgvH09A42jbxXEXROBoX3VfnZj6zQofT
K5jPMSs0ovts0rQfbz7hSLcyodOVViiKRAUAqwWsIZuK3/lg7K6HJCeFWHXzyVnPZ6hXg1MAnGtO
HASR3i7N+byFgpk/DfMZXJtiOOSq4MwtzWp8zYPeo7Bh5EQ3iuqC7MOSRDe6dxuHHJW5rovDp6YO
6fpgSOZnBFKORczGAMOSzs8QrPGxtnNxmcVLcmM8gnS/ZNz1tbHFgGhU7uPIOuiuKaUIVsP8XMN4
hx7okYixt43u1Qetn2to5+dkx6J0Be6PJ2heht6nKhObRwXvaYvnVFweS7RBztA2q3ZFkKptEHng
5urrI33SYa+Fo9ZEUADjfmOAdiMMBbX83r3eGsb5AqFxk5jmK4V3vVwAC02Weefa5D+4d+hcHwM/
qpZONuMUg3kyC7RuOGbSKBlrmNsCG0WrnWc5YHURejzzXfLHqBeJFX1v7LKHohtmuwgzqNkke2ue
FJMwM1+iwhG3LVrZJR8NxkkksGaDX5cZc0LSQQG2v/p5Ao2bMX7S5qk0wJHWwLFnVgXuqtF9WWtE
kvF84VhB8QIQwITrzLNuzVR34k7HAKyuwzB3e7bF84RcBmV2217HZpSd+nOo+1cdE+WK/tjZHWfp
9gYF3dh689RN7MFbJ/MkXl+HcpZ3/WPoY4ZD9mRqt1Khne3fJ3lmeladzpniL3sJi4f3xzz2w/xH
ASj0Wu4poEQXyOIIrS3qQTQgGyMcXDUE+B3h2pmFBS6W+ueAOvtlFfmsO4BwhR3JB22j1MRCwMEy
h+ILuu5lnKWLNOn4FMtZ0HBnaUPVnnbwZ7kjS4bhkNDKBENilkPKygkBFmv6G52X52kWTSxZZ8th
FlJiKAwHsm6oK0p4zn00Sy6J5QSr6arDsMJpP0MMae/lLNPorL0Ri9Jgy3/yqcd1sJ5heuuWPfXR
vGo9mou+W8wCkHaVgq6qUIGtmBXX6IhzzLcRpAmEbgcSJtLwokimb92c6+VaVJgFZyJqE0BoKGez
BEVDiP5aNKk49LNARYIGZdZAtFIxqnIxC1nuVdNSOfUo1D8hHDIDLKTvHHxd/GRkgMZZDeMBht7t
zxqZW9sen/ZZOMuTKrxgHx63nDxcrINUJ0wUY2kosmdDkPoUldHt+k6WL8q2kxciuPU3aXtyohrE
o76d3kEOP1uOBJeUQGva26I44Tu4S7DBculnr90NA00hHs8KPlbXVGo/UHbY+YhOx//P3pks2W1k
W/ZX3g+4DK0DGNbtu+gjGMGYwIId+h4OOPD1tUAxX5IhFWU5KbOyehOllNIlLnABuJ9z9l67RU91
9JkkwD7Ax4owEIdLX6dbs3Wnj4ngPjUW56sehdrUixvWahNSSaWfjmuvWrb1c4lxdtRwNDRmWqXi
cB84jdhJc7Iu8KaSM7DRaDqrxYkrF08uJlXsucni1B3AD6RrO+v8Cw0Y3jbD4uot6xF18zwyyUsX
16+3+H/bxQkcpIspmKBgmWy8xSuMSjh5yxf/cOjVBCIvnuKUceZKD3l4HJWfMkfGe+xzojjRUoFp
lHLkJpNdfCiBHWzHxb1ch7OmcLKhwQlEohpOyz5xOb42cu+lYCeYQECcgqsiKKedW9vVzjaV9wqy
xNxbA9xWIAHZks8z0UprJwOLaBmnoKur7pjm3Uck/lezZ3xbvO34TUPzrR8Ec5ImZHmsH7vMcxg2
xH13b0XtVOxHEly+pAjTV3bsfyh6kjqEYm2frdIE+tKOe99outUU20BUlESYhg/iAwPyBrTyxKu4
aYeWV9JAL8mx6rvaCzHUspRwfxPB1z/SnpgfZa2YiGaGr9am516Y7GA+AD6f3+ZlZV2BE4UIG0by
Ch26dQdTp5cbp2998gW9QDwgerJvbaQGTP0+hZAvyhE6xoI2juWNIGb00CYZ2yJRXhVIBB2jkRvG
s6EHmzPdy0Q1vEUsagzdiU3hfpmg3aW7oCoRVIsJD+UII4cIi/DSj2hR2RCee2u4dg314mev1Xw/
xaC6HGSBTWml31I3us6yooRQWBt3nhs2H7m/WLxQp98gI4EZEpf1izEMzI+SnC7EWrDOEpPsqY+E
9IxPsgjsj6GRuc/IDpp1b3TOsUNre2IliC8yR5QEFtdcqTAv8BZ3bCrS6Ni3wMzwl3orpVV8lyBx
oDMeTq8u2tKV8KPi2M6AssBdOWuvzNz84DOTmVlPPf2CdhAEblmZ9royrPgQOS6p9cnUbB00orhQ
Av1gqbDeuwIE8QRAd6dJEjs4lUshG7OTnfJw2hJ/p+nou3j0ncoH59Oi0bp18aMeoUXpXZQrZ5tZ
ZvwE0ijZD1bvgmxXDdjMNjhEeR57NKIn/IehoXZ8B/iHEbDKAdjoSzNMiw1DM/tBaXIflbxEV4i0
5t2wLLhoiFD0m9lTLqb6lDmd2oMrZUO2JLMrL6Xmx8D1CKW+286qrgBTajWsUHjXCybRs9Z9LkZJ
KHfGE5iVBi/suR2HtcQsueKrVOs+KPjE0KMgmGiDfpjKpMPHMnuf66i0DzHzqn1oF92m6+XEo5IU
h9Ji0NGXZbsy/SwNiaXhbTaODS7YzN1MKsNjYobhVYn4GVPpJ5fGTJoZx6jiE3F4bgsU61YGVFtV
MVJgHxi3NxrIR+bpRIcPtFG7qOW8tRXkI9e2YIQjRVhcxaBcF7Oyt6FPMG8T7caUSYlHbe5n+Tn2
keilZWgex7Yyv8yKGT7C3PJbHIJVlyN+aN9Gw7Zg4+qVHWK1Kcs0+2IRDPmxTJwWq29mhfeOGAIC
HWR+S63Sn53EVUd4p3SWXDQzH1LhDOs+SuqPhbSLtVXn1RneP/lxXp0eavTbB8NO8j2W8IaUUPKg
uoQ4Ks1WUqcekg4nmHFWpOaeJ8x+6inXbkG4wXwfsPsmBb2PGA+VaTAU7dPsXFnuSXeHyed6qjL4
2IHzxn3g31vlEKCy9dIP0sidY5PlOYQl5py0Id1jOKa3kS2RO/y+Frb+rhR2HSjipodelBD4X5uf
Y1paYYi7fC8IE9zCR5af22iQyaphnh+sgpb618519BjJEohyi0YdSm1cizsMedMnifO63eYOGqQp
SWcEyku/kp6OPYJEMhThRPHsgH763uE0yH5gaqZpEBK2458SoiLqVUeFKP6/78eTVA8c4rcd+X31
iw/0vz/xow1Pik0gXcM03QCLy3fUyo82vP2HdG3H8mh+GwA3bW6CH2140/0DYYnE7kn3HiKoDe7l
B5/FdP6gCqFx/i9Zr/+ftOHfN+GXL2ZIy4eQJkG6vW/JWOgISjcfx20aIXbVgFh2YdpDtzBR5wm2
zKff3/i/0mBo+3w/Hgdk+TW4Hosx9SfjaR5BmsbhOW5np0Pq4kTfBqbpq2lkl/v7I1n2uzjS5Vjw
myhDv3ec/pLBiuULSUIMBwBLbYbBxnVJOohi8wjAvr7Kwmi4UmhP9rnVl5uoaYMvMq+G267UGeYD
Bwkd+y3zZExjDeJawadhSBe1zw6l6DKShKpG9WGelGF1nyaqEaISTWh1q1T7VLsFWj8Innb1lcY/
paqfmY+F3/bDzvbwUJ57pzVukxwXO9bFOWSU7zlfEWBU+BRHIhz8LlfflIYrEMkEpnTpYeUL8/k2
aCzJW60htgBoMnEBqh/uUjmLc2MExnBoHIXELYsDvorywvDZZ4MNWjpu8HAmUe7hgfEnz6GfJrx9
Pdttxd4wFQ377hFtbueApkBYPbTfilS0J6+TRy/ifjAHZW2FV17KST5STmf1JkPpesK+Np8Tyy3R
N+cXHVv91gmNYc3r/UUUvNR9etGpM5f7csHKadWukoCmBMK5BsOPaC9TnNN6UWpAJ8DuOjdh1GyE
9MsV2BfACEITITN1LxBniO2g6Q92lJJIYq1jM+1dswWlp0/zN44zjBwkQUBbCWD3lQS7szsk8Jl0
JnE/NcPGNb2lN63jPYp5Z5PDbLMak8iM2ubwBPOtDDP6RkResHJVyt+gSfYQcx5g/QVIE5mhV3GH
ddjh4JYsDMp9425UZrdSMNnXZhm9RVZ2RXZ6hsw6+jSG3Opmly8pyGKfjMZdlbVgdbiimR2Tf+3E
D70J38DQ1hdXhRcz845NlebrnJahUTOkThBQAqm170I7w3xVmF9SWezszGjWher3AEu/4UzItnBq
X1z+YQj9a9R+34g1uRR9dIqIHFpnQ9ishrh5gE2wF263AhR6jsNs39viEkMh2NbBxH2nfQskQtg0
0SW1nZEwaCfsbprevU5E9VIOjJRRP5IYPeZnI9BfJSOETaZb2o0FP16r4dRBUirZEY3BlljIJSSp
ZJ6A6WqlHP/aYmt8bYf6E/7iZ40kdetaIyYim9ApGYrH0I7QIOIQh+EdAtchbsci1G7KQqAgMiKq
IKv2srVeMiPgBBAaGyGHy8cEOCxEVuLRgbTY3hrZ4cqpcagWBoeW0B9R7/cD+3x3XCyad3Ex0T+s
xglBGvGhYcGDCvp+fkRny+Sp8x5HrAarkvR1RNc+VUJNsEVVbb+/q/6vJcn9v+qYAUW98ML+z8Pu
x7ciyf/r+u2L+tkn8+Nj/3bGEHbNtDpALuN/X0V/rK/yD97sLL64cVgxv+MU/rW+2n+QwxIYLKLA
FliNACD8WF99TDOuxaccB3gDzIX/aMz9HrQAz9cCnGpbLkdbYvF+Xe/axvYVvD62pFENzQ/vRCYa
vAh2tG7BTZNQf3I6PR9Uh4L7pyv1N6Mm+ZdZkw9/QrpM/22cu5zRO3eOFqbBzrZGbZSL+RD2kplK
H0/rlt7LqleETs15Sh+kG+K9qo3k0lem8bmcgmgb1DoutnHvQHQK5llfDy75XHrW7rlsZ412HvYg
SyYv6LYLrsA9+TRqySE5hHKmWR4a6Fja2rsbINRlV3Xhkycn5aMd41ZDIM0fiHEHJosezRunMmF0
Kdld4dODz09dvmb0O+94iOt+5eadfe05JMabtBVoNhb2fNdO0EgZmIpHb8YMJP0quEHFO68WssZV
RC7GPhFieoIj4WwbD/O5mWpIVblUe2sy3HOQsfF3k0QfZ3gNNshIQXgJsVEiOzheYzEfaGS3aUWi
xqMgl8w+N6Fo6r3j2eEe9hlBMCJkSljFk//qh05qrzOrtu7twORlDbyLdji+ksU9PB0mIOCXHnzT
YcyauLgr7Gj4WoST8bF0OpYHwxXlRIJvyUcDxiEvY0TgBfX5WDyUdvesGuGynLFoBlZ/9kvnHOBd
P0RpS6et9ROk5OJVKiO4MpSjUeMp3YCB6BQebFqiyVmmtu4BxGh9reqG5MOWWc8AymKfxzLbW35E
nyVt/OpSWp51jHNdHOwhHh8ju0rhwwLvTlo177rOF9TJ/NydmRlvROQYW4kHnXxxr9D7TAQ32GHG
C9qwaJfVLSAMBOmV5bnlyiW3CfRZ5x/Mvku3AU+OCwBLmZcpGeN6TZ+RKXk6hvWuFjk/P+Z4jLC1
s4j9eAsLi5xl3PMb2avuma2X/wxQw7iqWZFaSF5n32zsFUV2tJSW+ZrtkHNlT23wOMgqgUig+s3Y
Vd3WNmieu0VQI01oYrADk989Mq/IWfLJ/3vwI5wmGxxTronWIFimB1lFt3PVUYW+pr6yzV1NIKzB
JTbKBmPKkPC0mAy1d2AtELHbo+UMu4JG2bXPxu1TiXTl3rBLYgi9tM8Xj/v0MEJX+DrjCnjwxi54
6vvOauiaKfGaJpa+JKpwHu1MovXQlW68awerMq0dPVTtJhzccNyZQkChCpbgdXT2EVKKrImqIzap
8VNNODU+Oza7l7Q1W/PVp1O/nxl7MSI3/YbnWqafOt3mtyCoiAKLVP7YsY07lBUuN4JDDn4+fpt7
vL5Fq8ddVtr2N7wK9Rc6TulhitzkqiGs8ciILduYISHUXE57uCY/sD4bblLzUGuzf2LhDT6noR0e
mRNiUXBzQcjfOMaYUQv3wC4mbTaJ2XVXs9lSo9pl+2yHGK5yNZrXRjW7b+E8lDs1kvpmSdPcjuVY
3mP/9h/IYTHfMKzIW1PNitkPe5xJ+90Tzgoi8obOuNAaKl7i1G0+VKltP8F3dY5xh+a6rqc+JF9g
AKmoFJOjuutyds4YfuDjh4nZfmZuBqoc1EaEkDPNfefJohcPWoxPvrRzuA/TKSZfyZbewZkMNW/N
mJH+wSKf21n1STptK0nDnl4ozjZ3Lnxy1VptrCOjKRGA6ok8HVMEULdSmsXcaaQClmFMwIn2ggSp
Ba5ESPgxCoU4WwK3mU0CjrAXfJryGi+49PVUnBBwmADMHQKGVj486mPY+OYrNsHgVrXzACEeQkFn
Wy3h7GIYxSYtxwSESjjw2AyJCN9iSftuFcKjPUeLsl2lZY8QkpZ6uGnSbL4zG3rFa0bUwDWiRL+V
qa6vyQXsrFNc+Gy2BWz2UZTWZiLxb18OuXgolV1/hWY3HLsZfiEWbzDC7PNLn4yqCTIvWVPlCzf/
vPCDBx2tyfALbDp0pMOvlNtMCPsxvozrwmv6jgDBpqeHONbmR10P9mbo48yEmbiklknV9B9FOXbk
dWVo5AunNl6aJCIbqpmtz4mirLWdGQlLP7c7Qge7G9IOgy8d1Lhro9FBurfd3igxd88hIPk5rPZT
BKpwzX+WnJu+mSvSmj37MZwWQuHI+LXAANM3hwkvuoNfcsaeWMTzSNyTmfYIhTIk56uMmOaad6bD
+wI3G12tKpvAWoSRq2h9SXvWOz+jyMTiXflihUy/2/i2W31g6QmjDRZKT60rpFJPUPXnc9amwY6f
jBZ06vc7TC360qC/3CdsugMsO15/GqqhY0cc24JmHwbX2yZE8uw6PA61yDyAfpN7CyYCxmJQePZN
Ogzy2nTyliAeq7xArB95m87xuQiacR9nKgFaCa0BdCDZFJiY8A7dC/R9cjMaM8lzzjAay4Mu2CT0
ZIpF9Ly+pFPBfasmWCOQS4PuWwu97WaeM9xf6GLFrqM/h/Sm6jGcOIOzQVHQ30FL2Nv4R26RTAT3
RPZFH8wez19F8AAFGsghxK1WSORHQZgbk5ZLh8/qpvM6HltLCucpr5qBWXmCryZLADVZBiwf+qbS
mKlFbVzDjtte+XOMzLUkNntgQVZNt3eMiqY4U7NH0E7jNa0JPhw7TXZtIZ+9zXH14yo0iXAaPZHc
6x6q1OT0BkXIhFwDPuVQ5feKDHq8g7NJ7xXouBGVGzawn50BLuEo25tswk5TEFQBL6/meHxQ7oaw
8E5knlX7OZPWumCMvEPjQFnkp6V/i84Aa5DsTLvYZMTL432VdXWuMt9/YZUbmRZyU7EPYiP0rYC5
cD11NSoYPxHzvbRSGgYUYvAnxoEvdLTiAgcBBl6k3Z1qv6pp9vs9Pob+M+PTFgxpPwBfGNq6PniD
RRZFXg5E6vl5UpPXhfWFVytymlVgFuF4LBNJE2eMZnZrWaHQ2DlTc+6mfkZmD4AEc23ksh7WKlHP
vdtZz2Nj5OQm+Az+lq2KxAal3AKGgw/ZJG0M+XmuM+/OacPxgzmzpVwDyM1OEclD6DzQ9C9aFqN6
YgzQ6a1JF6vnkgbBbdPV83WGiuPQlh4pzyIMDgYUpxtcz/6L7rLWWGtT5dhIoOrWx1AnS1+HMDt+
PF7gePCCnFBSMnXbr0FmJWg/Z6Q8rOjp9EC4Nc42duwW8/wpNdyDoav2ogTCKgIbq+oSp0X9rffw
Oayj1MTVyO8C/iXs4hYTrMT4tgai6HaXFhXIeFMWDtPRNhI4LJExIH8DEjkRxmlov9ykkcmvXk8z
Fyills830AyxMuL9tR4GAMbipEIvMvAeW9ZwwjmNdoNZB5sOIptOagC9soCYNDtgSZgH3NCMoX8a
EClHVfRYz6P17MWGfOahToeT6bT2uTBjzGu8dLD68qp4mupwKM8aeWmzMjDhY9rRgWuTvB60bFlr
XZ/nMhdvPtFzehOKmQaJZ7CN2kK5XIgeVA7DrqcJ3a75TYL2hBo2fMZLn35op3xILgC7pH90Aecf
86pVO7Ra4qthpuEpW/ISVwarynHSWIDWFSOuF3t0yLQh9r5/5teur2CS0CyZC7s/urzMD2GXW2d6
iy0bnbC/FLRSkrUbVqBTOfXtxJdQay0dfV0PLo0mPLQMdZjMTsyRg8Z97A0LHPA/1GPm+34kVWZg
mNIDuYBjynGW3uhPvU+I2L3KE6ffhngyjhDgPhGo+NCY9YsdFA+0z1hYPfpBbDJfu3SY735fD74f
OSyHlyjCafWa6OmM5d//dPgs7Cwc/aLftmFHaOtclxcufn7+/VG+V7Q/owWXwyDopuI0OA4QxF8P
Q4rSYI2zo7ZD1FMTDgrzj7eQ3Q5OPENXzgbSgFZWUMZfwPiJRf4Kd4feYj6+mHpyjxMJrBdZF/19
lnjB1XLJ1pIG+jV6rOnFsigUkkwSZa5YF/tbWKhVuPt+Ev/Tj/kHMP3SJ/kts+QhQRpZ/NKL+fMj
P3oxPhliICwdV6Lr/5M48mcvxqetsgwaGIN4Jn3V/550WP4fpsX/Edj4EVz8nv+edFgLv4ThmG97
/5qPvINc/g56af7aiqEIcvD3uJDa2aHwFLjvWjEhkEKqBss6OANkRka4zARAODjA1E+eHlnoUVtt
nEWFgv5FPyVjFp2Yv+IiN/p4YwYdIb3W4H9O487chH3t4bNV+liJGuG6h0/790/Sr0yVv35fLszP
zysGRdkn/mQeeO+Ph8kx2fYA1MTmG26MGk2aBeuXvCoj3P/+wGQH8Ef/+xn+66HfvSpq6RRU7rQt
koignln3KdqFhtwyNLPbVIkKV2UuVspEUp5Z7o0eWmbDTVBskF4AQand9jDN2MfhybNFDhrSONv4
BqMKqYM1V0/a+ia3w+gq7JEcJ15FK7wtjUMHmbyGXt/iucpYXhF8YQDDVpvjC0BUOCEoaMbmtooL
dKCgyh4G24guWef5xPWSupXXVnEqAqO6ciHZXbXA/D/Gauw3pqirC1Ft1nYq5mbX1v3WKD9PA0b5
vIz2ol+CcoJ42ESjaTw5Y6WP3lCOexKQ8YjpKCEnRH1O26AjMrSy1AsMKmMflyLdzRXa5DRq2JJQ
+9HrSJ8I0LxRE1luad0eu3Ez5uLF6Uoc7nlaQJYLnruZKCLwCud2cozNFEuq9Dm6Yg+ZALNh1ONT
VDCAwK8+YmkYfO+tL8hXY++Apy5IT/YADBnq3g35bu6OMGg8lUvsqEBIeaoHrXeAOzF8A7Wuwtne
6dY4tFH1iLnshFoIF2FLHlkN1UZE6wqKDT502iG20cB+cMhyYme1S2ZrADblg8EAL7AqNXiDAu0m
jlNU2V1Ss+K20ngdoxbBXgRGbOXCXyOyJGEiEtgnnpoV1IYzqSkEcvsWe8AYcyI+zjtd6H6jCaYl
o1btIoq6gxHT4yv1uEUcH6zw1gmwBFUMZSayt4Nt55cAIoebgZzBXhsefbpP+z6JwyOmRH/tW9SY
DRvjdZpA+6NzlGwGbc+PQjc4Q6KtIGVrPcTFkZkXRPo4ybdAHeDRu7bYUYBVK+UHoOYzNZ3HKGan
mPTJ3hiKT45XPva0JdvAIl8aXwZ+3kfDYLEmXwowENfSHR2X/M/hIO1+JB6X+UPpAYZHcI44Fpci
mTsrtJbuweXXXMxMe+l+KMsuW7c2GeHgYyHM5ipFQgbmBcDFRpcN3kXPT/dNPt5jMTLOImIeIUc9
kg+DLKGqe+88QdZ4AF8rNpgt9np0HuBmk1Xna7EuJoJsMpVeSx8rNxZrYl9xlq77lLyuSVh7McI/
R2W4dSSMcIshB42xc+Rmx6bw7xMfZ00z6cdeJ2e3Rs/bx9cDexa8OfNm9Iat7j7MeXPjNWa39gx1
j0jBf4JJm+xML9iCsgCGhv9GRu1Vm9EbKMpHyOpbSwc7GqGfYVRv+znJNgAHhzWG/HiNLeE6mGS8
N2dos2lzl4zBiVigG+2RVxqW1lUhG2EhJZu8XRTKkmLIrrpPoJNdrntpPOhuQjucW/eCAnMXMnLj
2R705wGu6sooW4B0ENACTMcJ/8xpHSFkA+2G3ogBgoAuTEd1vkOaBREqJmZIk3F2aOukPFoZJS70
hWjTFpl754cUovkAND41GnXIRYTvlPfihtLqifaftebtN57xIqvHNvB5WcCfX9moTvdjbHaHPPeS
aQU22biYnjaOQaPa+4Y51O2ocKYkNE5XiFD4D9OKRKnZjpEjtcaFiICbeoL1Y5Gg6crscSrTnu0y
KkWZOR+o5+It7fdsjeYPkCMb8a2w6vbawvy1Nvww3vROjoKoJYOc5s6MP65LaLNqVI0Ce42IkmTr
GQOeZhy5L0UpCAmced+lGFlnPz2UI5Jdy4Mu044eQjKz+kbO14EArn7vSttaC3yjhy5IPsKzcrZO
Et6hAi7RpYRix/yBKmKgkzSK1DwC9Sqv59a9/4d1zPrrMubjVcRvYqIOCLx3Ihu/KtHZdLN54An2
6rXhWGJtKza//qJix3YhNgziswcM/f0hK0GSkphON5iZxdlIw+YcjD1wx656kUna3mUjm/Msbnnz
YRIqr11vhsVuwjdJhzw6JGFfQkXQUMUQY2660ji1DTomr2aazKSaYQ+xYkVb3PE9xDaC7/j7813q
h3er9i+n+05bgTMRPELmmpifuvC+a7W9nmhsb4DYz3/qfH4hiv9sY/pVNvJ9gwAyn6ROg7+gf17+
/U+1hDmiJOszbeKo86h2sbZPrvNq+2O5ad365ffn9W6O9dejvSspRMLcTOMKPKDgx8vl2s827ieQ
U9EXM0FC0Misv1VICE5+b80HMD32xspo7vsgJq8CYBUpv+Sm49YkRUzvSE/vKZwXSr9WBdhEfsLM
ZdCNjcTdWBM+FiONy1WdwQUGGcefVqGi7BiT62WhbpYl22Ht/v15/t3vR/WE/sA2cZ14S/3480UV
TmyKrDMPVVDdkeEqkayTi5TE7j8c6F0l+ucF/flI77bCWa/L2LAi+zBECrxkGAD4Zt4Neb1al5n8
JC0atBrnLjMCdgo1lrXN7891+cne3avs+E2Jkdj3uYeWR/encyULUxqCdeQgG6h5Gc2JdWFbGVs3
KW6TQVj5SjV59g+37d+d+C+HfbenxpzPy60a7YNwXF4DrfvFy/BwjC1qyqQ1xKmc9HVIKMZtvuxy
vJHBxu9P/G+/Aj9yIMl9Ylz9XvmXG6bu6iLBG5XQbe1YEtFyX5HKHAIRd8Uqr+UNsib2m7Z85a3f
/Fnb/iePbvDz8d+9JRSUYlJ+oP70uXq1u0QjngntU9FIHmIRXX5/ukul8P53hpbt8huDpuR/f/2d
Y4YMbV/5xsG1u/RCKijCqS7st78/yt88OVzPfx/l3TlBfLSHHFHjoeg1IfOc4KorHdwX0BT+8yMt
p2IsCjYX+cKv52PWRNfOM4jIOYQeOPrmcy6DI8/tP5zR394mPx/o3TuP+kP1Yd46PJ21B3YRtLDl
OXtC7xFWT8p+yCJS7IEZsz1ulo2yVff11e9P9m9KZvpE2IEQiNHUoXb/9WzDWI8NvCL7gE66hpLV
Do81Rv4jU3P7UNv6qaqDbBMNEboy0s8WdV2z9prcwNkp3oSXZNsaNw2jxq4rz1lUPEuIMbdmYn1I
Wxp7v/+69l9vNscg1CIAXLt8Y/fdbSDMIQuLueWrRepMBCuKtRioFQFDxlqK+UoHUm9rZaC2YOgb
jSQVUISKXaJRsqGZBghPts2mHeg2FmW4hey/gSlOoSNMFEK6+VbDNj0aDUMd23bOpjeA4iqQIw+T
j05eYJ+omXNt+npRWuVfrcQw0TY2xdqQg3Ppuu7PLc7/NKr+oVG1pAr+dHNs3vq3//r6PXrx+q0g
evF/dd3bL22qPz/wZ5cqkPSibLLnUdD+qsj1gz/oRPFnI/5hTfqu1f2hGKIZhYAGz7bHvN02/QVn
8UMxZDm0sJbbTuJDcW2Px+Q/6FPJJbDxp3cmSwJ1I0cCixEsRGBzedv9tDaCZBwphDv7EMYzLWsD
Cai5VaAl070B+YwRHHf0rU96EknaLHfleoC4t8xu07pYx703IMJzDa/dzFVv7krUn+7KLlxVHbRQ
IQ/E5IgDaYYDyljwdpPZIxsXoAdPjpurfBUpP187AUQIiQ8vZc5zC0veugs6U15H1oQZwhLlRVtB
cuyiUF8py3nwnbpbcwUnFIvUPxVMjqu083adXyMgHFOqFPvkgSfyaqU2tN/INSS8ZWXxsKzn1odH
OpEZ7WRoTG2XrlDVBFch2YPXA3ChvTPHr6WZEJII6GaZYcs13s5gV7n2l5qiHN9697ksgCpmNeEu
uCnZOulwOqY1I8U5CMYTVsL4S9DIgaLI7Gjt9W8gKTAaeEa7S1XtUKFzTD+RX0n/Nq/7RuN/UO7O
0BOs/lRcSxpZuPI+Acg7isje9EX4TGl47pv8QmTNpp/UqXDMfUKrEaFHIz5jdxl3oba/5Hm97xyG
2pmcDiqfqrU12rgnGRVWKPhpajBnL3idrxozfc5jV297z3uRqbGoN0CHeUhXxnadMC3bBlFD3owS
w9kc8TAjXz0VBTz+CfubFiwLKu9vs7ZuIWBokrYcXKaHsXZQKYt8U9CxuZtRvd9MyrWwEzvqldiN
YmKmOESfrVCGgFk1f4KyCbU2R+dz2yqxz+FR3BRF5J1tLadvbQCcQzmJ3VAiacbSdTFe2ji7MZaQ
WacFD5hNZM+a0NtXxZJH6yZ5/6VewmqFL+7NJjghXV7yik3wzrNoiQJZ8m4ngm+zJQF3lPO9TyRu
5i0F6ejdknI4HkFgJuek6ZfBUBZat8FA9mDiTmRhpgzSRf6K8X646jx5ZBsJXWGwuuze85S79eom
PWvDH1aN9Hc2pGrUNDawO6eczn3m3ZjsC+/7qOvMi+cxJ1sb30OFy0kQMAxBuFC7/nv6sMjHSGy9
YEklTgdOdpPXDs9dKtFQr7EGFXj5vqcaZ8mCkhAihZbmE2O8SnECDZuBYpimh5wNY62GBvxBbWia
aHQySVSe5ziRa8+sQo8OXojdnGEiE1v4JaxcZbTkMwsnKfqDMgNym0lz6goKeSepn0WWtgnwWox0
8yYjDClnHAecldZ1iT8N49908Musnc6kluQQFrRLjHRUtq3/UFgI3Y6YwET1rc6SOeC4JA/ujA44
2DoizAVaJ7geB5dZ4CNMQQxbrKPBoO8Z23IiChPwqtz2lsHgNCyQv32pLDpu64rd8LAh1Roobkmc
/Sv1x/Rckst+Cvo0vG2jlkygNDSBecuJMJhDaI1sJCzIO+VagrkrVm6VR+7Gy3IulpeJVTs4W8XX
WFrFPCG9z6OQEHGAAax46AC2fB1DyMwbjGgk42VpYma3skoLujCKlJYtQ+4uuo6zkl/fQWOzjwaN
dt0iNiZnxfZngNmRqNN9oWLPPMqm7fPPTYuBaxd4WQMgpPAZHDqDOb+VeOzWDRa7e5DnBqAuyQFV
nW16sxg4UXjH6jiFunVXDYBsgpdPUljWa0YKx1UZOP3bWFbKQbKhmytVdQpXtD+nx0LL+c3HqOPG
nbNCHP+Y9t5j3OsXHwEOXYZm+ui7Y7Obszi/s1NzqRgjuYvIdXpA4VrthqHzP0ZW0wKS7Z351TTm
L6NUJD0YqvwQAsWuAyzwTByReQ39meAO3RK1Y5guogGmrsWlb4cMn7AIuaLDhEeaVi/NUhInmxuy
m8wtqU6h2kfgOYExeVmL56Is8/HMW/vD0IMS2+HC6x9QDuT2Pcougj9pwfigxjp57qwSYcLU9oa+
d/MkIP3VaYDaGiQZPNAWjL8AUDDd1QiJOt74rZM8QlPoh9cIZkx7mk3tzbt4SDq5YgMKzymbDtmo
oe+mSMMl9zKE7wj0pRXV885Ejb8oYIfbvp+SG0eU0XogYvDKt9XdlCnnCDYuvfOJttpBpy2fxGx4
FxHk+mOnXcyqgtgyNnxB8NjN+XRHLE2R3w5BVX0qUQccVDaPx5CGE5gOOG9vEh3ZHUlO6GcsckM1
Xfxmhdzf/xRZvnrOMWs3mxY3hcQVqUDB0sP73+ydx5bcVtpl36Xn0AJwYS4GPWggfGZkpDecYGUy
SXhz4YGn7w2p/i6SVSW15jXUksRgGFxzvnP2kd9lvqjreu4BvcTDCAAcqiXuPE25QetqM1hR4eDd
cSs9zb8n0sFmQ3xOv8nw8dxXleG8FEhr+2RITHeHqunkICnVxKowx1ut9BoIfIy4uX+O5TfTxTQy
uBquU2UiVCsLocuxC3Ih2JhWQ+60qItW0QJFUZlWQK2urUeaZlRxXdaTzFDBKsuB2qkxu/H0WL66
oGhkADodSEsdVibThcz65PY93DkZzgMdwvp1ibpuXDVd6D7ljWF/WXp2kGRmVeX+MEevzqDpdybw
DZxMcw7DbhbDRiI6HsLRE1sjso2rODLpS6PjZ/Aja3Xa9KOusUbQjknUtikUIdXZMn3NW1rqtwzt
JoT2v/jUuMAzdaJ8ac6FlqyouqighNQE4Tj7je4xX9aXOd/GdByc2m7qzd0iRGvfNah94NaBrO4o
qRbAwochRCIKPTc9eWUjliNQwg6zI0ye5sAonv1PwR4p7waE9vnCcCg27zR9xsuMrEUgSAsFgksr
3LkmyM5bJwqaR5lfaNlIbkIaeBMjKLvRdVISXQ4YTA13BiXy0cmqoSBcj2m6UKfqaUxB6ra69yrq
CMCVa3N/T8W2XT+HeKUmECJBmqeMDj2hbwnKUlUTx14wYmk6Zwxu92OnvMdwKpy7lJNLFBQh674z
qQTFZBEgsiSTITMx6U0xiwtQx+Ig3VbuB4vCFNIjVQ4DtF2u29CSK5tEaFeJaPkW6lzVJJLbofk6
SUcR5Jgrjg9Cv2lnGmcgJtxTyMsopE3CbUcW02/zeniVRq+u6JSLntJWdUHWjho9cLUTPVp2FEdM
H9gd6AfDxT1LVV83FRSevbCs1Ds4wCf4WjHMiAA3qNXdmmauX2TrinPOmIwpXzepfZ5Qeh1UTG4m
v+gcJ9vUVAYe6Q8UT7MxJHzNDBqwxM99/zCJdKyPxiyzU2wu0SfbHItlSJRy8ocxBiOdJzrwB+4f
77XBIAWpML9drOpWuca0b5PeAMCwMsrKxb6umlpuyp5WsQV+Rml2xD2TjJhzGV6Nmr28s2GkD5Fr
5p91X9P/R3+X2o04qqF7N6RhuMqozyii56kicU2NoD4e8qFgg8K/jw8H0AWzMp2JCvRvpjN+ItgI
9uPEsf1sx523byvMuf44TcuFbHQTUEdUfa3b+SuD1wyrlZEU0Ga4bKtdL3Iv3NC4k6Z/cXP/+eL+
rzeeX1QVMfWlXlXddLSqXHW0YbTNCUtR+vjDHfD2D9npR9X6370MARGiHabjushRP1+shqUoqzDU
xiM1cGPJyDZK6fFQ2LP+/HV+ntyvb2f9fg16WnRuhPzjz69jeJrZYW3vKdEr+/d03eHhp3EjiGZJ
zm3SsuRbPiwxPLauYDr4569urp/WPzW3P14ek5GLtuiSN/31bZIVy5iZY4aCfV3v4Kt0D6bEYkg7
78KPtM3vpBJql1XW/JbN1QSefXoddO9x4XSB/4FjBjVeIFQ41Tic+5fpllB/dXQEROSTrkc4W9Ol
c2sYpEl+aZuGpapiGOLXeK4ZWnt/ISL+6xviJqy7XNl1Q5rOryIiKbDYpcKyXqnoZCWYLUbwuSvG
etveGTz2+CiX4vjnH+O/vqjQHSYcxqrTMuv45TfZhMyCBjyrvGi0XAsm8lnRvelNdErcWf2t0c36
lfFiIMZ4g/xJlrVKAj9c+SNPmDDri+44Lriy7cb8nDJth3Gv+4t39a+PADljjiH4fBA5hL3++x9e
yCxao64Uc0zCBUAzLQNzH2d/w+4Pf/7xGf/m81tRbw5DV0A09q/DNxBQVmovdn6kVs65ivs16NhT
iEBXlid6TKzCbPfeknDPA1XbXjIGntatXEe465Gv//30V4MS33RNHy6H6ffzIZNMzop//lf9l8/E
MEx+WpjjDD4We41h//iZRJoVdXR6J8csjnX3WMu+u52qicvS334dwWNv296qJIm1wunH16Eim9KM
iLwE/n633zSuWVKNQOnKHxnr/4qCfyUKwhZkoPOf04SXz6SNeTL/UAqPn//7f+FUW/+Xf7jXXJqZ
8UUyz8RzxmyGL+gf7jXjN/RAHc+YzqL6B0r3f3RB6rdQ/davdB2HGjbPwT90QcMlxG8aLCKewZNA
adff0QVdZ1Xb/7muk52X2EYRHnXMlRbLxS+LRDI4SloVsThgGfTFVQUAFdK2mn6OcVdBhUcO62sa
sDxgosXWzAuixE6Z70JKZ66ylJNAOOkFTaMi8UCaoZL7ptm5vS9D6F97s8QUPxkJsBUc+WDRO9ov
YKqMbMberF6XxM43vVnlx0Tk8aFAZzj0xQAyiPLHA3Hh8pJYrtVx2O0GD8+7heO3yLj++yiO/Qi0
o2lwUMjcukqmhOrFvrbaLeF47UzvZ6bQcxroXhT/ad+IK2AukyQAPvAZ0wukj7Qz2WlyojEY9y9h
i+pa0v/y0urSxAIO4o/oTo3U4TdJQzOKCRJyM6Rl+kzg6m1c9OScNMkjbTXUqETFQNGu07w7DiEH
y1TxPXUNzoOzWPlZT1Jzj0dp5XoR2ErmMj4Os7aGHPRjpzX5joKoZevx0XEJocFFU02IryQe7xsO
cUHmybOspvzKjLqEjBN0lIhpdE8I7T6Udnos6fbZ2u4wf5mWyrmObfoZ/EXXyjxIOIeiEUkhTtkq
DAatLgjvtz2+Kb/KwXNpKzaFkzP6j5/nBgWb9TSm0JFBVz0Z0aLfOjOEY2/Icw+HVAILXMeddskE
PWS+LMz2nR6OUR1H+DhXTkT+zGcmGl4qWXBTLpQcViUgdesrcjY5qUakEWABroU0vNSRd9sOEb4m
p3MtuStJUJwIXlDrC4fPJIktFataj/cFunjLvQhS5k3kteYNY930iwZDYBe2IyyAlGM7b2nI7+kS
kk81mu3W7uSEna8YLp3Bno8HbOCWZE2SwkeT+dODNCrg/AXn2JceIuFzhdgMGGZsjDskeufimNZQ
bOwmrA697eYHQA4jefUeDQZXd/Sh7CS9a4HjbYUWR2qbJvMcXY+8pWHX50ZFsitvwqB0nOSeVVoe
OjfTD04WTTviiRRZhRkhV1W71Tk3824XDQ9EpIjWjMPO1eLnaoQ6ShRjuOk7PmOjddO3ieqMW7tq
BgI4mOhlU16YU96IeTY2GeU7d5nKxTlVGh8ZZUFBA6Xw7FFuRDjTtjueagSx/dg0EN5mwu3IX43Z
LGhfabMEWj3ZGwuq7Tc3Dd86GHbXKXal86i8iVZ0roac1lzF0KuwriuIb6dyaYmlwqYJL2mLGQto
Tlhe9Yxqw505GgkhTD1x78okb58Nyj476Gm5eyYT2bySfCiLjYF/krprWTlXds22fhyl2fbHUnF/
2eqDkPMXC86/eGilGjd01FSfOQQbgpkGKeD6WvLbRxExVJ8YL3imqJGKU2Yiay+cVNtKWJn+FZRe
6F0TRgS1as8i4asgRISq4tInSyMBkqxuDPNTLElI2ijJL4Y5WcUpphBwn+jkXmmlAeGw49JlYmWw
hJ5tXbvPX5hfjvvea4Bssdg/98qjnUV0LRZzvUSL4PyE2Om4GU6hSf90gfbu2ynMz4Axsh324XA3
IFo6fjkv4lJhW/8o6QV4A3yfB27T2YeJp4gVto52Mu3qxzExscflDGLI6KBuVZ/R0FV3i+WE31Kt
Ra9y++WzGaeBW6DOH2ygGkWQW8k276eIC9FjohkWXUZctkm3xpWc7udW4b9z23ZaK2j4T48RJsAN
pTNwwhMacdFJzCljrNCPRX6mKq82jxAOSA7a5lrhZGTR8piSSysAuQFcp93VseJNKy0AEeQRohVC
4mXnya40theYi7URM7JZesNi3rzm47xqAe7Jod/Io0veFvl1I9GiNGuaEJss8tiCjccvxrY+QYKj
TKj3nHE/T1NBSLsZn+wEzERXeQTqFsusv/QNbwc4F4+E345waDduz4Ql0jS57JRbEB+HVuimhywq
xyIIk2L+qltUJ/pDNnsfsdJWn3RK0TMacQyiblZ66e0BJglzqxczDahWYlszfBSiWq3rtuYW+Ikb
X4XQksEb9j3WU0K0ZXJBXWuuxgI29TFdaus4Mvwez7lVjQdhOzwFaGFX1ZwnhxE13PM1CJNBWrFM
6mPc3buM8JEQG/1ddcu9NeD5gfAY9g/6lFlEZTXobVBfGhc+Bdiq1jeJfr030ayT84FV99L0du8F
Ftmq6JBBfY63vXIWAqOxni+s2WkXAKeZv5ES0p/w3Y4PnbdWDFVEKx+AInhXimfYp/zJujdaZb0g
QxYoEqV1gri+Nks2q9I0n3Fzk6Gn9G/0pZ1dL95yMjseWKKp+fJZ5BVnbk7ntCmbSwv2JokLepIK
vkqULVWQFwMmpZV7K7fEdw5Oc0+AWxbznYj0+MmOqZrnT9flVWYUTrSnElk8pVPKese9q6tPqvJo
7kas6y4ahWVw/QbTe6lzrzgYOA4xh4PnEwebCT8uGS2kHdeJOa/5RdGAS2uzli+a+0ZaXFpIpd1W
Dm3+tiIrL02qdbPPRIixXzPMJWcIyig3upv3b6ooi0tvLtqmirBIB1Fktw8t3Kx3KQWTMbtv3WRL
3yYLjV7EINZyU6nApGj7wrtWpzCmmPrg1Po4BVlMs2Sbx7pgjDdGmMbJGbuHau6Q9ppeuHSVkJBq
g1iPWbCdxdDaIO2K8Yzvs2YGVXYOAE/bqD+5BNsZML4B4TGmMDqwRvUV2EN+ILnvfu2tYUnAtEB1
JAqH2S9gZ1pwWhDQBbSpR292GDXXcGCGFy1BwvaRGtPzYFRPkjIF08/bJDK2LviLq6IhiJ8WQ9pv
4qL8ZCgespVBkVlKbvyNyvjOh97pb7BIIHvHekFutcpAzfYpw8wcqtG8o6db3aYJmAiAjFTA4apI
44YOdtW/JX3W9ODJPMPYRbY5vs5xgbkrywDebDVpRVeaxQSnJ1H7jaklLLhwGPNqW/VrgDJZ1use
+W16nLqmVqzK8Kh91VrrdEw43CnNtAiGvg+fB9XQ2iTiZt84nenXKq8DrZiXLR0kew6k5MwBa/pN
mpY7BPGaJOhCGWI2oe/iXKz8scAzpLcuSyAYivaFqumM0Wk3Bez7rCcZv8o1gRgeuiivr6shGh9V
KCle78JiA+p6emO6nOdB2+jqI2pW5sUSx+LrVFQBFapbsDXLG7D+bwMdYL7m6NGhDU3Ku+RMwtG3
Zmn7Xk9efB+GuOz9LImX/UzWb6aDsdFfyedO+kusKo262knYt2IgN4coQj24aOhTPyDNMMsbvR6Q
QO+V2Ucd2RMSOAvEZrQqZmiOjDXYhZVXkwZIEfjYA44TwMn7ykvG5xBFFE5Dbo600XHK1OLyalih
GL7qACEdtLaQ0D/KUhR+aXrjI8xAIIagMsjsulnxgTuieTWTzLI3xZBp3xpLoyUcVYc/e5LNHSuQ
biKtC+IEFEW2t3o9etf4eiINO7HwbhneNQ/E6OxsD10DMC1xd/XFgSGc+S1GYQOkZMPMS071156g
RB24HQPFKx48DoZJGVfvntO3j7YxiOveEuZtMRntkxQyq7ei7is2u8iZ2WeJuQdE3709cdrpwK+H
Gkyi5P2nRdV6cqgWmqOgCFEjoQM9QC9sRslEGDzBsElbMOy4xGIc3AV0VK11o1fTNZ1g5qeyojcw
EMLtFR1MyFIz3sEk9yfDGaPzaBYrv16uR7ABKCq5z8VsOBwIGI+cCcFLenN7PYdOA4ZpmIGPLWao
e5ivrQJA2Ji+p+PonnOppwwoJ1Vu+cwochtkMgVDZ8TZZkJBRqoNq+fWSYcrHlYrSJJRC4ZaGCcD
eLQvwTWTOejHLasquEiXlmdaWLzQIgCf4jOPlhnVPcq9z8irV+QLnJCPqbfT66YGOuO7CfQQOi8a
40P0Sb2ZdICniZaZuxrMYjBaZb2tzOmqCakIU0vGZEjE+UWkS3lbuU5qBoMGX95rcxaWukoBTqI/
2yyS716uY7SQvf0lgdL5MeWqyP2awfh59sr0ozarcrNMefTQF0b2aoaF/oDqyf3PZQ+5Geo6HPcm
FWwdhhQ6gwMeLLrgO53xR0c/I0TmyN5OxdhBjoLIQrVJUJYPM+MM049533egXSWugJp5U+96JCyi
Mi+gFXf5cxuL+DAtHC5WxDgNVE3Zxp+AajgsVqHcKtst9usUKNrZRRlfRZ3X35KtieGmjtojJSP5
A+uFuo4Eb4OTkZFxdAGM0o1suPMyD4/AI04OX2jI9evNTVltJ8+KHlS1PP0gf/wbQfxnjQ5FAVkV
HcHQEYtd2ih+Eapr2x5d+kSXvZJEzfGYWAMTKUcjlCSyhUFFWH7++Sv+7PtdX9HxiL+6zu8mJ+dX
/p8UfJVEmJd91hjpXT0uHVQTx9gspeGeaD1z9+R/4s2fv+jPevwfb1OsiCgsWq5prDDFH4U3MzGq
JXSzichFlF9zruluoxBLM9i0mAw0iWMugZRg4BL49vsr/1eK+yspDhgV8tV/luJu+8/+a/ytaeaf
5Lg//rd/yHEm4EwLTKRFahNRfNVl/5DjXPs3Qh1gumzSHb+AM53fXMsUJJAN2/EkJIR/ynH6b9JE
P/aEMMENgWH6O3Lc6iX9SYxj5ZfIhWxJlLlwdP/5N2WDytP7ulecYey3EJR5S/jBR951aZnijpSp
lWvsudd1Kb7+8En9/zy1v7z0LzqymRor9ajFBoZZzo9iyjfjdDnUWfgxKqxif/5q5vpOfnynLk2d
hlhPvDq2SMzAP7/TNBxSp8MgtRvwF50iFXaBhzi0AROY7aBMvOp4hPZ80/B68l5uPXdwgSnqNv0o
/etQsRtaS/QMLP0Wl+IZkxYhnNz2Oz18USoEUKXo2k6q9MqA8/tXPup/89eHogoxFSvlinX7Pev6
48SjKXCCDUDA7KyrDszNqDepEPHYWq31XLVgHWTD2gAlmW7BSyYPVmhfzEnBdYQv5uu9es0WlItU
6m+aVV7HwtojA3xE7mADV0iOMGk4o478t2ZBnKqUxKmikc6yKi5VIGd1jJSpP2qljoMLT/cBS/Rm
pr/VXe7mSg9S+O2DHd9bdnqI5vGDnmR6NOLtQDZlCocOjmZ258bZfZ3PD5b6nDHs4Ub2v0z4Mvbu
7Mwbzs3uuWo8juRGnR2ZexO0jR0axNq1tETyZibA1FZjiD25uOjRyfS7UstRED1eWaghvyYbN7+n
RefuQY2gOsQdGyVFZb5FpI4+bwNIkWX0CY4f8KdWPiqckxm7nMt1jDYs72QxSKeqmJ0DmkR7Ow6h
BXGsLU8En+QXoZsuBddJdZHUwHI8XfVndLYvSBTeFjaY+VHby/CNQgX9NBhXoxmPN8BlsPTosm3J
Q2TVzqb08VTiscEKtQQ0xBg7jKsQqZL0M4kq5zhyEQ9MU407Kojw3RAerub4FGb5WyLjk7K8p2hw
OL3w1djt3ByMlv+hTkMu8UWYggNt1ZkL2Hbqq0c35/v+i8dpVel/fJw4aiCjOMLiJ4mEZP7i7sUw
Z6i6m3H05gSPMS4SHw5qBcgoKGVUo1TY4pHgIAyOGBJYHNqrwisVclKikLxd8TSZQ7Cskt3Y9/Lb
tKLEQIHm+5aCtMDxWv0+FlX2gsGl53IZ6t9/fwv/3dT+YlNjusO9w2H9+8/72v9p+vI/1zP+vz/g
H0Z0Bk4sSh7TJlJfMFPYMv/Y4TyDHY61ClTHr7wE7zdmVjxsLGaAfVyTE9b/+NAdeNLgGMg/4IES
/Lb+zgYHIfLnXyr2eA8fOms++yU/1l/TH6B16jkx4+GInTRKD/3SZhe3RWjdCPxNeJemPk8PBRT/
3qffIu5wKtHehAEwNrHPWOmWs2dzXOLSds4gmKniGFiyoOgRO3qjL45IeCQZSmy5IkYnJiHejhGU
Sbf4qIvoprLtYvUdzfUbyOi43FRGwl2To2Lk+IRJWrklteI+t2Nk7YwO17wv62GLJMZEI5HWR73M
WbYNlcW1X0NfyTdc+iS1BZy07zyDtf4AvWdYAnPSZ/OgphTtAAwZNbtDOchbvDIEYK26Xkt1bSM6
lyQK7jpUyZBNa4CgbOAGsgOlKTAJQhb69zgBV7fF7eV1G8vSrPsyDq0cfmIRvSorN/u9lOGMtK11
t3Wah5t2Kso+kFiRe1801vAep+10ZH5fAJyrneTN0pz20GCnKoKx0vW7aXQomC9M52gYtBGJktVm
ZUSZQAeNMXzsHHN+NRCgsF9xb2RsolfJAQQHpGixNJmDzpAW9rZusUGZhTGexwl0tCg4e6vFAlgo
kqI3mGpUguQwIKdoR9ZReC8D9+zjzBTb2OYeaecAWqWp0HINjQttzhA9Oaq2tbFYrZ9LtlWLYCSZ
5i5Z+TZG1vS7Fa8cOnX9arYi27YzwCM8m8e+i7maUa2y5Y+xrjhz0f2QoSDSHj5h0CzceDAukSsj
yFou8fp0xDVphOvZosc22iX6d1rCuNVnlLONrRmC5YAmrdWcLxplMHLqW3xzc7jceK7L+FAkNpct
q9vht5o5uNmTTZrKGa2N8Hr3YWB2AhDAQF1YdzaNMu6tlYa4iiXo4nx4MWsBedsprxt+HwFj/0+j
KI7UxB3HKSr3Wq4Xe7v1zGCCJL0VS1eeGZqVJ4efzT1XIO3oTEMWpMLio1NK7gurYEZRrTK5uo4x
JcA0hUy1hPLM3Lk9M/o1GNRwccxjYCWmbsWfFjLnXjKQeUk6u7wZRIb/dDBTGFYVgSUv7n0bi/Ml
k7W7BS1Q3buNVd00JaA0K7ORxrggcnaJ9fApyqeHrEOVmZGEjjhPER9ctznVTryimyuqzCbBCLRK
PyojFdxGjQyXMTMCcK7hzglzUt7lSFE443B/CL0gMbr+rLC4U2wU64zaZrt/zOP6dqib/TDpC10F
toHlL427SxgDF7SXuUMCSARwTnhvtrlH1AuiebhHIEJVdyEKlvW3vk9us9GADBsa2Tbv0FhKoiaX
ruMpiyRtQDH/xldTVr5a+ONZjMQjTccBLZekEIrwMzegC/Sld6sti/6NihR+6dVaxsIw3KDY1cdK
yfAxm767ZXfVowoFatT45msESo3Zs+aHkBaXnGK9KLQb6j3goYikc3fLXLXXaazRI8M4hKRMNQWj
63LSmu3lFUOnsUvTcMFXaqk9p9HxLKnk0BGHx4fMrh6cLkxP+UpC9fR8YB5HDau0JvpRxFTeYY9s
t0xGI6AZxXKzdBiWYSpM9iEmIESmnvnqBm1F6IFlcbyYc6UNDGXN+Zm6LQrYRTjeeB5SmJO5Ga30
to3Tr/leKyE2ei8V9XUhVd8G5O7OsOBxZ0Nxa4Nj8CPwpCcKKbOPirrKnW6jrHPOhfpudTp+sYGs
O78EVsIOVZw5qpIvo2dGJD6GMfmLWwlFCb/uTrbOfYRLiaubiBe/hwF/ONdXVUNFKFr6UZotRUKh
MRbOpkuq+dKWhXgaq85ijasgS4xCAXcrifU9lkqbobTkxmcfkZq8nqsRmmjW2RTO076u+8367UMZ
M9imRh14MoBBJtpbk0QHEAlpxEegjXK8TLASOVpi9kZiE9n97OoUYFMQ4Az2VZ0s8rwsfXYbSwa+
FnTGdQgvBNwNs2s/NGFqjm/HzkvWkgQaymwWvutqtg29kT+dvihnPHth1h5R+uY9TVHlFZT9aZcz
gvAX5ikHGz7oCcctso3ZM2bLq4jHPuyeCYPWGwf3N1MHD2xjNZAz7jiH+IZmww+d2Lc6WUnQlUsd
OCMR7wMGcg1hdACkl+/pqyBCNEkdhp4+28W1ayVc6xqGPXo/aN9wHc6ntjWtYx5VagkaHM73WebU
26nqbPC/rbhtRYxgNUJFFBixkwT7g1EuwPuH1KguVDXbAfklebE7x34ptRqUp5CUGuES3lGy1zIx
mAlT6nG3E5F8iG1Sbq39pUznq8Hr3sm17fsY5qDZUtBXpx/D0Nx7miGv6TE0AltbAOynaXsf6xml
ABUfHOcNOv10OPDVSPwNMEnybih7nf7BfOjd4dRp5b059slNTKWWj2XPuR2S+OByHzyyrWQgK538
uXHrKvShhajj4vbA++a6HbZ1BI3HK5ryNZ1hC+tm/UGZBi1GjQVTePFKkMfcfJSrjIeEGnm3sqb7
KubJExzib1qgiNFOkzFjNUmRBBZyZqzgpwaQnp/5bNWvueVgUpeZ65ECtgb7BvLdYLIo2/b04i2T
0W+Q1uv3mR6ANwRGa3mwQ80s+fu5auZaEKk3Q0Txjaw7wQSvdD5o0naxzAy92Ea20D6GOIPXVzgD
cHyImwQ+ACO4MfNJs0idBwFM9KvIsQtn5gqsoyeJBEKULXsbPFOQq97muhE3xFd6jyqFpIy+2IWM
7nWrs87MWDkRqJF9vgcmDX0v2TqOJh9VZhkYlYXzzqkWNKkbTZFxGHWVn5IRzgvfJjFe7OBado+0
Po4BncMCm0FDoI9G+6JLA9qoRsB+/HrwtU7M9yJWrNqfmoUaLzCn0Q0tCB4fp5my7bsLmF5wH/cz
YaAXthbrG1OX/sDRi8HRLCorYDyRMnbE5M6D0JeHevYWVj+J5r0de6N8duw0O2dzJm4qqxjuo9Tz
XvtWGI9JYWk7/EDR/aJxKfOF3pQP/DWyR2NZ+HZVwtaEy0g/OXKkf0FZ9FmDSHSv4ywfSghDyt46
IZRqszHf5rqkh9A10BX0OUvf8i5xX+dw/D7UvaZT0zIMB0Mvd+acsHWNdkoDIhzQLw3Y6xhuVa9I
L5fEUFo9Hh6wHVmv4eQy/DKLAQBp1JoS7cUdlsMgC/FlyVAK2JS0N9hj6X1ihN573arpkeFWeQ1F
VGT+VJKnW0/hkCNSfSDnpqMo/N7eS9X24nztHYsKJw1W71ZMC94su8969tUqicbAmrr5CwWfGld7
QO6wjlPh+WYZZgwCU3W2enek1s8cPvWiYcypd618gXzUdLAbTU2APMVV5ScgXV/NfqS2Na+npCB8
3TRQRNks3tbYx4M9yuw4AmYOrEhF+BhoNN60Vlh6ge1xEgOE6rUnFr223+jzMOV0qygikPY0ml/w
Ns/ZYbLG+GNOK0aixCAGMOMQ+xXThsbPM7ddriRnbMKOWXQ1TywvOzF27mcUd8Z1mDj9KU7NJttj
a16ewSSb9dboIP7Y0aQ9la0d33ZOKT8qANkPg8EValp/kmt6Cg9J40U8hIArIXhLxW8kaKLSuV6G
mvC9MDzuP4wvaBDrIiYjOBmj2872lsdOT7TLnE4s9q4eYxCbllz73pF2S/22oArMb1vdvlm8xOG6
kIvhTEUi/XKxEB/4EeZ2x09efYN7RMJAOaSR8NJEr+UEWniXxW507LlvfDeTYWBeHIHoLrqEkZxK
3IlO1IEUTpNm6tmAXDIGWjkV25xy1cpnEx23XgYHm9NBO2VwdJbuqoVkfEll6N3z+ZQ3Y2dw6nTa
5q1Qo7ElgFHCk+HwUgPiUlSF0Ziq/EJ2+ApDLbG3RjRORyaM414UrACb1LaNNEjdit9jWk/VxbLq
5NInZnRQmmglzGagJw1oc8w4bk7gg75ksNBxYtEvUjad95yXCQYSu3KfDEL/H9xjREWhT2JZ9Pgh
tfFTSJqbZp5mptOdN91CSn41df1h0Dr1SLYLDFw/ldWlz3W9uh2yKT4AkLXf6edZzQRz3t0k9B8c
lT1CR5jM9hV/S/t9inRZbCi9B2muT8XDYqXR80xRMHHGwY2PcINiVB9XMlECSpjtOAhr56gi+ozp
Ez5qHKU0uieCDj30rdNcCrJxWZLr0Pt7UCs+AcvxBsRdcwGmD+wF3OG9kxSTj3TaHtFI5Ztr6NMD
hcDutDEmLTxyVXKinTGJ/Fhy3mx2lA4Vm6Xn14nGNlfuRRk0NG+o+qasRQ5kv9Uo3rFZNMde6WC1
jYwCVc+diTo0Fsh1bkucwOK2aakDVtp0qzUQApPcHr+6Iuo+o5qaPr9PZdFskh6PFPgENjWus4SF
uMLTZ2c7ajPQBYAAwfiKY1E6P0djytybj5hRoufVKXfp1VS+WUfQhH15sGdSquQ5NVcqzDx9R34o
T42NFU4VR7NcwACMNHpgCMSrs8S/tM/VCk2W/fRaVyLMLoVWOPyGm3XdrBPGwKR0WY9UR6TvFlQQ
p4CBm3Cyn5Q1c75wq3WCxqkI+6RZbUVS01Wu596CNaGLvi7NIq5a1FJ9KxXFGpweoiwinC2bqzbN
FZDqEcLZacwZkx4l3Nx4G1rV/KX2OLbpfVo8TcpT3+xslEdd88oXmzrnZ68ceiwbpj7uR10zjpVh
dXvHmQiflrEkKlX23zNjnLkRCwwzQVJAuw9UK4cN3cPtrptsbc+WpDZeRuHioHMZK0w6sOcIMYWG
a9f+arlRS3aO+oTHxTPy1bKW+hG1si5dp7s5z8kygXR/GKZZvyEobW0op69omG0nYI9TWt23jhd+
rZba9BO7UQ85CXv27Lbtdz3aPPfFTiT3C6LUrsV6+GJ52nCTQyV8rGq3PHJ1XBuVtEq/JO4oN15Z
h+c21+3TwAP/+H/ZO4/d2LG0yz4RE3SHBuhRBBlGoXDy0oS4upLovTvk0/eiMqsy81ah/r+GDTRQ
g0qjK2WIPOcze689dZT+jZJNO3hm8XqKZfFVOnZxFnojHnjsqYQT80aLW2MvtaB7CbvBPOSWNh9s
zKS7SBj9vg8BQOWdUWx1hMmtLe6pyZvraCOlxjhk3ka9Ue5w71qvKr+5d+gMsOIwQm8GQhC9YNbS
26ov4ktrT2vGVOzaW7zzq1FnzoDqI/xyzOgxkEq2M0Xl500G9d7GO17SZ/qTIRrA/t0rKeMFtq92
3LqR2/gRYkjPIV8BMJPz7HJgHYuowhPfxj81HOvLtCJFC4J0ozNwzAq9v9EjZtuAsLJD4CTQ/4oI
TbImM+KMx+I4mwjtiNbFUepm7Q5YdbfrAOt6Sgetjv+edmPHJslj7pbsU3f9l+Hov1ll/YK5sR0w
sdBaEFmaGlYbzVq6vL90cQrHLx7w0t6TU6tTdi5VmmOU4akaC3NcCx6haW0TXbeqeqPapBOB12NO
dtT/9IMs/I6/zuX5SVDcmyj5yY8wMYH8sgvHY1LLHAbffkL8mAxt9x65xjhfq8F027PjFJp1QUFk
G3425+PdMJX0f0QNd5o/DbzfxNU/jRIozfMw6U24yROX+ZkRibz+YYnZNj2zVcRz3enZxWWxfpwt
I3txathsxvdAjkxO7d0uZFGsdbrGZ8YfkPK6zrjXh1H52UQI5tMerZStGv1Cqw3jly42zEWXZB5d
NWYo4AzqM/pLHhR8iVdQmInjMYl1/WlW04PJSsczptKgkDDC81iiNcY0j1IRu+1BkdKAthxyHRIJ
uDFk9qIbpXrt9PDGHtFDgNbvLvYyvqy+J5mD7DghFRQfJDvwat2Rzs7YM/wegdpCV7+q78Gobtb2
B+EBzoXA+eZuDmftGXViXePkospfZUvBLlHq6l4YOjFMuUw+usgs4jXiGqp77bvSd7+rfpCYdAAx
Ys+fomg4O9XBOSfffYKG3GaHd5Vso7YmI9n4bieYJlk/4hkdpECXv1cC/TEUU7+voC1A2mQSms6T
QLuJw3qlLD0LsnjaF2fpZPKlp7GW7sZZ+hyASF3kOzP3c1JO7irRRjqipTdyli6JrEFy56tcbDFZ
MqNcJqJrThPlHSsrTZZc+i3Acta7u/Rg+tKNTaTSvtZqRIvGLId2rXIxlt5bok1fhZ5VP6AMqr1X
TJ0hYU3VfEhgEMSpIzkJTTjQTosvqauXJqis4kOJYE/4yHrCr87oy/ryn99X/Xvo/5f1lcO4xWYr
oQsSVk32YL9sg/sCPZERcZ3E1FrHSpHhbTnGtdc2RrovctXZ106Tj+ugLwNfNiz7sjK4jeSSYK5Y
o7yxurBmmjYroccEoKhWQFvwTbg1mh6TOelLkw8EPYdwRe7RPQ5AjxEvhVM8+pYtz3kWnAHnLyzm
URtuNUxzHQsFGfxEGG9srLiy9rAG0ivEHkRd0oKUa2n3xFWciVy9YOPXbsMgJA3bCDbEw97zjhsn
NZ+PNGZYnRVTRcgfq5DYmNf1XNm1Y+2iuBbDqrMoULk71N1Q2dnFAs5yMUoNCkWJG/lBs1m4hkMC
NEP2eL6Bko7M3qa0PXG41BcHafOmpZLpYMVWCiQ0vKqDL2SW3sy1ikm615AU0YBXxYfdLwv+1Okp
JEV30fFBPM3hGHilQTakKebMc2s5AE7P7OA1YqvwKgXUqvWYl80m6NJoG+dYeLl1TZudRdIBMJ7C
XeEIXjnTGgF5iMaSqylPho88cOE2E2YUbOmEsaXJ1p0SL9KbHFFVj3jSUpvgGgxu9J5rkGtJOCB0
PCiUO8lkhEkBzB0Zi+EmSxBEQv/QTowWZ55Kis4sceUhdSPlzS1IVeaP69aa4hQA3hNnQYZU9aM6
BbwBQANwqHaLSaIaog1ibK60WQybySbcZdC1+EEhcOapTvKCjLFZjdblUHM04YC5zm23UFlN4yA4
pZDK250PDLjyQfnaFzvSksdCbXEQEI1JwoPDJ3MTG6qZ0cRYwS30IZXta6TyXruJcVvl5T3YoGpD
ggW15fdNNEetecWjER5H9Gc54x21J7zZKDrnUiDtNvDisETSvvdJGtCAeR1875nUZeXUMNWdiZBZ
NlFkFLCVcuOJmAWr0N+1762Vy/4KRxabrNYQxqbXR/sp+950FTBD4WnHI91nzOldeJxu1WvIdC/e
Gey6w9NcVRqOWO6xD9xWEk2o1B1YE8u2LSmHkUhjYpzYuRudYR0xADT7JpsTfxyFtq91Am68oUbv
ymp+ZtTUuUma7BLHwoAzMcAQXoOQ6mD0BvVE/T3Tlct4NxXaC/oxAXQpfCCk4gWQIi+InrAZAilV
BzMC08G1N5VW9stP3W4Ei9aDjFgRtUopdlU6tdj2/rl1/TeFxbJF//sxpVFYcEhhlDM0Qnb/Xleo
TOZTRqL23g0F7qNznTa31XD9/ib/1SL8GP9sIMB+df9n+bKfZTVhUYu6bwDYn3/1UOb879d/5W9f
Acv+j2+80Mz+9hf+N9ns2n82091n22e//+nhZ7n8m//bf/iH6/FhquCj/fjI48KLWy6gn91fFVjL
jnuJHP7Lp/0vcLUHbON9wy/kTx/ln1/2x2Zb/w2VFZXU70ZKw+b388/NtkYWoo6bkX+OjJIL5B9W
SvM3FF0EFiLcwoNpLHfLP1bbOsECropmwnB0Fan7fxV6zNP/6+PBepzDlbrTol/Edf33x6MqUrIB
EbNAV4T43DMDwMvu7PKBaYrmwtZhXMqyOsrW3MOEppXdp9T154S0HRA2KkwNdgKiHj9AyDBCBUTv
d9LqPUXRCEDq6uIeAVR7sIeQcbNDXtc8EA8718nVIn7JG/FE7oqW/NgwrE52leqrNgbMMpXiBWV2
zcE33ZWm+plX0BKnBRQVMrIo3MRczanywRSDJWSjM6cgTZKmgCQxDqhdh4wRB4cR8F3D4S1us52C
TbLJEjyY3ZhDHbfCS8hG04t1ofgqGcIrzUiK2wpdyaEjo/emUiociUVgSww0Zg5/LpueAjd8UOP0
xxg1hK52GcTDbpqPeAKFj+mF8OKSmUzUT/0q0c3+Lp8SFJ6peVtZmoSZLfrNHEylx9KFK6nWmJxw
rRDpskqE1n9pvQsGJLR8rTHsK82CunaryI/qNt1OrcjXTMaKo52U7lqRbfBu1KGys8zGvuEyqNDh
1nC2GTPsUZVCKMhC672zprdGutHayGfoI9DhlgaH/1cY1XtvucoxsHBzcr5bq5jr0ZszYR5nzArI
dsvPROvGrUJwwblRSdsaQwMHTKLROS4ordS22cdFBRNXt25u6lzqd047fyA8jjH/yZoSpU9fjHJ6
MZ0qWhPZTtPnJsQ+EcBFnlSPWwObwTwpKYEoEHwKIDp26b65XZZ6FtFVq7nLpmgzalxiQ67eoJjm
AUBtv1ORWhxiaEDM8B7srk1uHPIp6Mxl/NAGTeults7BCu8eS2GY3XGdOmsgVOl6JlrNH+OoXXeV
+WgbScD4XhHHPqmfeV7dT6kWxCIoRX6adTIG8w4b8VC1D1huHqJJ+laJ4pvm+ymZiWAeVBI024IO
RCrma1ZIdZd07Z0mKslKDTwEMvJ2k9PRP6khkkhhObRNYCZkcikMCiR6QxT4EfqFdsDYtXKBUGwB
aMMmSdBeNNscWjpu+ZgpaDg11cUkscnXhKJ4UZNmZ0ylGaVXOO7h6VYb9iPNmS3lcAO6Id6Fi6g6
iyKOM7fdztBRe6DeuHAyQo5wJCZ3bWI6WyI7WZWL9kkLW3nPZiq8GWHNsq8hYqYzrUdNxQ2cxkP+
lCUEFPOrAlsupgHrSNIxtumV4JXl8WLv0OvbuGuRskyjxRCDVT/4OxQtXh80n2XVEDNeggGx5Oye
rNyU15AlnldJM/W5mDFjtNaNhdb0TLFFBFwAw9Byx/g6alnEHodiUIXzg/jPmn/iUdiRBgctbbTL
HV4ADJnVrF0D6M5er+Cjnqi6Eb27TIvawF4PVkiMZTfSzFgVbZYeLcTTPKPCmxTV8txR6Z+n1rUe
e1Ssu9qZCGkiNnCtqHayEQODRMak0T5hnXSobRE/unGFjL1c5mRYmPW7bAavxBJs3uZuljxT1jyr
UdNtSmti0wAdvmrlpeoG/ZM59nAXj9ZIvmHbsr0cLBCyEiga9pSV7bbVe4w14XOAHXS20aaz6bTG
HYZ0wJQBkhvFztKNNofPjplVJ6VxDoGSsw1jBYDXaO3SiRB9QMwcdoKDJDiVNzc2Ei9f/JCUlvbB
hGNzGeegug20LjlT9mlwbvrb3ooHxBhd/cyKEIN8mTcnxp79Opoa8ixjjY1hSxDdkMzJ4+DyY2Tj
NN/B6rxKgTVWZ1LglTCN9owhr9xDyp5WqN4IVYTvTZnPO9J4H0L0pexGCwzQetGdyXETnuPMsQcI
im5Pj2/JkE8xRpvlVSSM1/IY0Wej2YDgQNusDOkE3jRrEz0rRNO9IlA9MDkTXhA7hIY31DtSYXyq
5DArg5x83cE2OIVj8alpaKlckGprBGhXaJA/Y92ZQCTBmmLWAZpJrQw/HZJxoeXP6FADjpcgNb2y
CJ5UGD2//ww6DmWYXyN8oM7Vn52BtzmDmexjpnOPaRohRNEHYS7J3uSRKpjCsSIXY/OgV86XwJKW
jz2nr7ZzyELw6TXPAwANAt1Tg4BKBzu9Pkb9ZnBg/QklwVCpVUccDclThdLfr3XBPBbCXF5YW6GM
mWdxJwALVNxXGM3YRd3qo5Q8UFabPQw1u8VETqNXZOppHuYj0YYTCiEreaRO0ve9orjrZvlN42kL
NgYmd9zyHD0dK9hCn997u3wbbD3gQyWHwc+wReG+RXIrUpZ0MggvMQvdo6OG+PgM/Roz7lpPwYCT
hMUj3S5knWYuoDIltrFrh7QhXDfsvLkNCXFFvLIzZPlDVTiFrDzF2Rb4VifepwJ2pyk+yNUTwOG0
Yh0b4ndbxn9Vyf77GvVvRe3/rtjdfpYLhbf9f6fcZRb4z+biX8rdYzyXzd9pwn+Uu3zZH+UuceIG
Ul5keb/HjP9R6+JgsHXHoNPk0CabiTLzz1oXNg6FLAnkKsT/hWn0j1pX+82lLhXIQh06FxvG+H+B
E/6XgY0wTUd14fAwJKXy/p7A/mXCivdtLrDdDrtiwEjLo1ptR1Hn2ybRTkbTuvs4GGgPNfZAYf+5
wF+PoWAx+5eP7N/0Y6isfym5l58DyarN8WTSj/5qwjHcUCnhmRKPk1KWdra2MY10g33c6m8jEBz1
rrYuQR6f+phl94QeYqUvhQAjt1XdGA89AcitvqP4mOOToRYHg/zZdex0gm2BAyvWPlQaoX1UeitT
dNepn7YsNHAzVpaKtOlxBEBPsK0vgwLHa3uRqTyPaXCjYwrkRgVKgRYgD88KFGXK0vShj43Gb43w
hwlOEMdwb3lLlV2tVKKTuLBhjPTOPJl05S9tWz0Yk9ykwbRLQuMCZX+x0xPqzgfbIvx5iSy0cRAr
1Q16uVUprduhyLWNwDQ36cdSKTdWbeDhg986IydI7kmBvWlDudMN+6ZAHpkQLqva9b2U4tXpyOqd
ZHpyTa4FMyQZUYIa3hkifnbL/NQ44EWl+CyjmNLgjRicR4QaSLjsYyOaOyvQtmQh+Cz56EXwinKU
hUhE9PXUp343Ze9gOT7i2rBQ/YIUIBPiS3fnYN8KnVXkbOQMAFD6At48MBI7Kpxtnh1GGbm3hOxO
1n2ehftGvWsLew3PxvJmc7yvZXgBsMOanOXsg+Gmq6yY/BjVljXe1InxmDuMK1SFKN/2vi7k15A7
e9mqrzMH50R9uorG6gVs+2YS8UGvDbHJJRuzoPQ7233k8VqloGqR3q9MzcY70Q3+pA4n+p0XwqkP
g2XcNTaR9dLuHzWj9DTto8zzU6sOh57A17UJMKaUyBIRvxg+qKl1GjBmkx2rkm6tmx2uA6biNo9m
HVmPKMLUVaAWH+WCf8HX7JVtQrKQqvh50v1UO4JiApVkCbZ47Pp9VBwsNKLnJNcezPzZbpr5nKRj
+gyY7tCm5jWQw7B1pmVNCmB1D8XOs4f0YBeuBzFxh0XgBW7rZ6qUx2k+V+KxNSFZanBDoDFAyoSP
QRs776sweTa1YkQLWkLAiS64324HWXuhxXpKGGdzujbOcpW6eJUjxkrmVN5y9e/6HvIbHIBLB+0C
9m+3M1jcIDPAsR4XIt050WUINaAczL5cQsJJ9BEIbTgOLlTpbAED+VzNBM2TIhLMRLmOBaI4RWuO
NfQQ3px0QdwY/kT2V+vE7yiHNnV6QeG6BjZzzXOoCqW5gZTxxD58N2AVbzqwBNzneNkZ6inZlkfD
9tRIz/fGQswdNLXHNG6dyl4Dymgz550f40EXXt3brzRJuJHQClgYfaaJmVouzzboMV2X62J27AMw
TZ8U+J/WYF60gNWxGepnV4VXVKNmi91wL1P3rUjrfdyLjzLV9kmNcUfF9YtxON9ggN6JQh1vkVom
m9KWjqc1yR1DonY9B+o5NNj7F9qlwbCitiqfPBq0UFX2ThUfGdOMHopLEDbNsDEn9HqKJS7wa65Q
KRDjFtUDqvrtgIx8HYuIYAtqYxgGHhb2pxypgsXf8PSEMrQVKXZgQoGj5tGem3NQdK/9lFdIQ/to
XdnO0zxO9/aI+kq6R2l3B7AHqyFvHlgfn2ejfu0y8aZ3OkvY4FadACRM6XM64WftKv47LEbiSuk3
A6o+O9bvoMjfQV/eszarffarN+hMYoYpE8phs8RJazfJznbG/YgyVNeN7dxUX0aKO7ZPfjghVCPk
OwgLIv2IjZ50ubqS8GGcT+x7T1JIhhip6dfjBLuSJiYys9ZHt40NXCt2zuz+0IkrW9UtLCu3U4n2
QaWrJ8qjzoKLBLDW5w074bR5rt3inWS02jepodZq3v5IUpsXA8F11I2vgxtcCoRoTIBu1aGj91WH
Vcu0fNs26VEvw/0cmp+MHFBnNmHmsTi+nflY4VAcGYNu0NTH6KKRroBGTkB9w2mJmhDxnwx8mDMH
Xr19h9zYR4N0aaoBKEkUpr6WKEe8j9RzYfxBB7mFJ3zHcKXlYw6vbdZvCd9oVg3RcEjnGss+9q6x
L2fzBhK8nzU3FmSe1KaVK1HiMkC/scRrb6SPQd6Sa9ds2ZaubAR3dckhpJKS2kXBtmosryrfoGWd
ctd+HhptLzPX64ByjW23G4cKZUDhafCjENpZezWWuB0Sul37vg5Gr+7M3RSf6rJ7nhCnAKrduTzp
Tqa9MLk86+OwS2emZ7a7jbsg9cii2s1KNHtyaB6soPvRpIzMI1OmN1bzTAqBR+YATSxSMJdCN+sJ
QruVSDUQxC8U8+ZKtX2cJCcXTJQVaU6wqIR9ETL6rKZDONh+aavnSBJ7PZ9UYSGvngH4Gl9dUKJA
I08PrtOB+m2NDPkr1ouPKDTPhtWdDKvZxSmTrWn01T5iING4Lw5U7aT/6oQGG5Sjk5VKK5qTqCUv
YfnCK/JUT+LGzt7oS16ToXgLlcRr0+S2V/uznVhroxQcL0F0FBxaszYg2i7ZoMoTvKb1VMEOEflb
Hi4mQMV8d20c672+K+V0ZKmSQ4Qx1omr7XKjBczb/+jn/iViqZQhUoaagXCkeM+N6RApRwcjSkGs
nyNKogej6tgyJMozUEMJWqf4nixMg0MhGj2TY7mfvQjcvtktw8p8OxrHOXH2o56dVTf+HBhrGFkY
I4nh/iwRjUg03WS3RKl6LEMboZ1Lt2+m16aw1uNs3fU5K08MGWDoX2GY4yBsHxPmQkatbKo2QZbb
7sgnKOnu4yc7tlmyzrpfMH4ak4s9A761t5kcd2jwPkw2RFGM5q7mA2z0WzOH2GTJjEC82A/b7GDK
xLNs66mRDfELPYxg0yQ7fIieRA1IBXPnvJaLJkazzOuILGVtRS3Bi6pKYVOiyikHYz0qSKKIimbe
W64KU1yqyHpFP/RTD/rnFumzMoHRt83mqUlJOBxBx9mNLwREf3IwGdasrflhYFjcc/CmgbM2RH5X
VwXQknY7aQQMDAqU8eMwCqDKkbxl0b+KgnLtjl8ZEPw+vsJXvhlz9xJ0MfCtGyWePCuz1/JOztGm
bDeYNs816k9P0RsiHKOI+yP2FbW/67mKvInFTDJuZ1yMtv4cjupd3KucB842ZvkSp1tkH7s+Ni9z
6myqpr8F+HcdtAvjNR+DBeCYNwV6niT2blX2aGGT93Hsdtao38YVcRFKLW8kOR/rsba+3OIp4t2c
SkZiuB2SBii/SyPBgDruCFNleJw5D9YI5Ap+fUwwqaq6vScCle0a9UOv2M9ph35uqp/qOfTnmlmI
fnDh1sSLecCkJJWBxfzUutfyh0H4IaDAcd23ae0uGnhoG3n+GOL7WBcD6D/Xzm/hMSylZTsTSFik
x8qx8p+KiIiaDOdyj+CzoYZs3O4FfV35BHlpWDH0WHLou+mrYIJ0YQ7rkEVpDB/DWEJ4SV11K0RC
7zBbAbrlnn2iQ/4G/jP1J/zE6OoYuXVQ61CEeEKsfOfqVfpEQoXjZzCe71BT8EkqXfSWUw1DgK6W
Pb8iNL+rwvImwafO+EhNmRkYBS9sFu+1ZReLGUf95Fs6P+1snt/Rl6m7XEzdNlAT7b60GmOj2WF3
dhg93ahFkh9UxW7u6feojynMQE4Dn7jWeWo84ICWawbW3C1JNO5Vra0O5WAi2FTQetlNyB03K+Sz
T5qDH1nR0XINmcu6t6qPDENDn7sGnSUq0r3iVu1RL+zgJmv69sbt7QEYjULrJRvQUDZL1WNn2rAh
9elYOvpAPTOpyX3pdPaT2qgIRHB9HxK2qpsQss3ZBHP4StCGe2JVWj/S6PD+OG2YvzsEZrwomSFG
nEpRcjaHTjwINyFGwVCnazu61Ukb0ZYMZiLPTelG8KueBsxbKNYa+LGdvAvQuD0qpjkNqyKe9FcQ
IuNG1hVHGUvaazPY/WmMZ/uWTNHuLRKxvcvL3jlobC7eIegVlz4bu4vQuvac9RqZC/FU0UO6/coN
4T9GkEg2bGFQCFLXr0B9IL8d4HAZgc7M0ExyxFlhtc2XBhsrRzwBEcF3lmajttZQAD1DogT7zPH0
lohMP1WyN9BO29oB+xHSfHx0qzyLL6V8k1FPeC3GgYHx/xmNJTdplU/DfcuTOWmx1075Fr5/4fX1
/BMJI2P0se2FB8eXMb316BTz2arTVytehGX5Pir1tTkTYWp28U6x5KGOEx8pouULmzGq6oSeqWC/
xoCCZPFlVGpQlwmZJJr5YRFiYejJD7NJWU0l6yFMN12R+wWVGxeDKSRyFeDJJyc01W0RNM9SLx8g
9O5j1TllZu+Z2ryOEoOfuN8O6UlXmydN61y/UtoXMk4YaocxFWVuPQzm8Bgo2rmasFSwYF/FUXo7
SWUfOtPZicNhX2m1ic9ch+lYDAiIZ/JrHOTRupmRX1z4hPKg4RjbDaL+DUYGUnB0czMwf2bTpnuV
3/bPeEaA8rQHN3LwtDmbMCu+qqJ9/M/DDuMbY/Ln+tkxLYGASQWYAGHZgev8i5gMWRgVk2BibWXP
tPnxYZa9PMsRwaOCYvZGtYr6JMtwvi5Yt7uRuOIHLWmTcxPUUMBaqxheHJxX7/b3q5Iubw14Gvck
ljcpWt6pdHm7EM3UB+37jVvevXIO0/vRIPaUsfJ07Jd3FEZjdZyW9zZb3uDg+2UGKdje9Fmq3IQB
7/q0vPXO8v6DEAj9nJUZ09HW3Y79iOI/CANnnwTp5BVaE1x09u4bZHEhDlROmXk5b8KAk0ft0OXV
5mg82GLiXNJa6vMwirp7NSnbe7Vs8wNbYTyFc9Od4ewYG3c56fRAcOYtpx9AnfldLCeigk+eYApO
yWbq4n1UoR+t6shHw8Vh2i/nKjsOZvHfh20P1GU3pQ4ZURV1RqVO7p2ZpK4fESr5hGCJhgGZAwOU
aLQO9TRGV9MttZ+Bq0g/r138Hky78XRwCZR9qm3H5WZolzsiWG6Lcrk3ktidvtTlLmmWW4V5Tvmk
LTcN8Q1cOvw2y31ocROhGMp/Osvt1C73VGBn0V7KEmIYd1i03GZ4RR/jAF36ypnZGzIkPKDwdYFS
wIl8GptcfXGmHs76FGf68yRshlp5r0+voyvhIUwG2swqZACV8mz6sO3K1ZxTwOkxYCZ8gie7zYpT
FEGWYL8VnSr0GOj9a9BMeJ8sJXIxgDZ28MP8jgUjoHGmucFVtcG+S3AYRsblOxrsK9Z2jjmFe1qx
l+SxgtCxtiyzS1kk1g+n1nXiGTgkttbo0K8isaRSyLFSjSsA5Om7oVbX4Ts4oPoOEYhwF1YN3cK6
/w4YGHLLWSXLtlBd9obo5+8ius3dyEqxWXaL/bJljJd948zjO2HE5bKRPmE0D0lSP2TLjlIBH+wh
bc4xlbDBdGjYP2linhVUn0ejd12/ZeGJmYsKSNENOJBsQ4dlL4q7IbtzRku5BZ6V+lz0rReoafxg
LztVa9muRqxZYy15wLkTHZLaTXfFsovtWcqGhtb5xRBJpEpyoOhZtrcDuZ0xdvedo8Vf07Lhzeo5
oipm66tr0y2x5iqsOf514EsRboXhRfQaVFahGpvCkuY6bUp9W4M587TBzVcQCbfEYPXrrBgJRFdr
sWGYylhFbX4g2bpSF8LdteQSKzM+VqV8KvW8uB+VinaMwIGt2fcDUoM+LW8ju4q8LA3LLVoBlFGK
pm2NxKo2DqYojCRDuxl03jVEC+YqwD65UkJ2TKFs30YYlftJSxH4zMWb0IiPzgVO3sx2OhZ+BiZY
VDc8VnG7qvNcrhtt8YJWuGmxXddrlZg2YscFSujQzSktKpV2/iJq4CuhQcXEvjIh9AhoWRmAn3Yn
utZg6Qdad3jg68QeEGrGtasb5iP578UBu2Gw1ytXXSRE8ZG0rA+tavMHMrpnngIOFMKjPuhivhLD
eoiQeK/hW2OeJkX9VJVVQuwHn13mRh8kVYtVlpAhlNZt7lEV4Mae4vdp0l/G7BW367FzVJ4IHUV5
QRSZVhJmnhZfVjvfTVppUQqT2aRkXYYm1rF1n6YjPLWNPngGPF46ERqPoWCBWZZmg+VHVx+hGLV0
r9pPWaoGepLk0W6yHXJX11dAEtIZgy+xQi26DZFnTPaImcvg/ZINl0SpUA4wkD4NgSCEnO1UzUJ4
KPeRrkS7cAznl4Q0NG8KjWkzyxTgjGxt/JokzsxvQZzCLHTNaA1wU1mjX9TPNgGCP6D8GfsQOOEh
Gt1kn3Vmew5Ku7sMbVBcsBTK94Dz56Dptb2D2ti9EZFi34JD6E/GUm+N35XXUoPpSmfvsbQoXvBd
nXHimo/OUrI1S/HW84l/X7z/f431P6u2mIkZ/1G1dfxRLLKtX1Rbf3zZH2ssE3gWdYvhmIL4kr8A
8F30V66F8NcSJrGYzqLn+scmS/yGgArNGCc7Nz93/5+bLOO3BVePUduAhwt367/aZOn/skJSLcG3
Yc/m0nlpwvkFfCXqFs8Tht4dAXf5bqKjAo0Edqib0V12oR7CdZcPKWbprUke8DqMZvmYQ2q8Jzny
uQnd+qjUDtuVIJcHm0nVXTuYV63IQVHOGquaEdmIzruIBIid7CpqgieT6JRjlyr7tkEebOIHOmRp
e6ewU0P4KaN3wb6G3iVBtT9kl8RBI8Y5AhyfKm6ix617c4Pzy529ipf1wZ0mZy2DLlgxjK2OTWKC
u+MMRK4QEf44qwEyiyq1d4R0mWJHESbvufOil7iqPuEOFDZxLQZUBBknb7FO++7q6g572ikpSEQk
BC49jIiivdYwW68wqVi4Fz2zXwpOgeq3RfN+B9YRwji0iKnHEzhCUVw3MQ3k3NCyDHVMuxfFL+xE
LO5mSKrM4WBcte1Yr0Zh0F02y2jEpYtT+3DTgBFZtzwi6Wrs8upOHZOPUbQm8vogWBvRxORBU0eG
hK36lmsSGQBnybCdmK2CzgBtOADQ7YxRuR96O7sOmUXa5CiCwqvMQL1i83JoyMIRPR7n8oDvtVn+
TH1U4aiiMwN8AHi34PjrpmugSwWjmpnDh8D0jxYms/RdVsHU2Ddzlh0qmXXJJph11DymbNOAEjYg
hStyFPcwlLQJnd4Ezb5lAxdtuQSGGzYBNQNtd64tbxAT4h5hq7CIkxZH7crMTQYFtSGfCuwbA8ri
1mb7Z9foC4Y8p99B5e9eOrBt1ipHYtusyZkVA8PT2QVaoyU4OVqrOc44lxA40Y0vFp3APEchO0Kv
45pmDUIaIjOajslqMZyFabTadUpx8oNjaxVmL6ad2f5oagGipEYbx7uECg//+oQL+IYnzEDh7YTh
7HEL6CdFGbFFVXF+sBsQx2z9qqbaDlbNFZigarzpvqcwo9Ys46/RvYLI3zupaq2QXQQAU1gUql3u
Dfh7VoZNQJZpnBzVfMla+yITBCckYenrNm52UWdGzFbVY1aBuUUWfzcYw3tQmffYCfxJM6dT7Bo7
kaeLIqS+TcLAA/aFjv9o5QMOAZuU6Sqc111T8ivTR+F1+ZTvQzU1LvH/Ze9MluNGsm37K/cHIAMc
gDswDURHMkgGG1EUJzBKlND3jQP4+rsQyryVldVY5eyZvRrUoEqlbMQIwP2cvdeabeMHH+dt5ZVr
guws+sTYlpP3YJrABCo9bQoeUXu/ICnIv+pPe3lA/Mj2id9jWfVrYYj0oTPNK0gnyVa3JMsYuDuB
6FK5rda0ZZJnT35thBtpdGcP3Fq3UlobTYFkdD2UX6Tx4WPHz4U9xvSvVcr9GBVYs+5cpaRV7M/g
GKyi6oIZ4AjpuMp4d6CWg1g5UBaNiQJh+qVVsAb0TTDGlb1V1KEbJsEsKkOrrFYrhXzz5+gJsQfC
NK5BBx3mNV+ZdJ85SHEtW/UBiXn1fXGWbtda887ypu4kRErRlStcXObh1eiqJx59t1HKdchuZkFJ
1MNq6u7mNM9ZQQl5aHyyd8TNDo40P3LafptJghnPwnsbGDpTREfunY6NCbHWH7r3sm/DEv2ijP1L
T71YwVp/yHATAaaKRRCCgxB8xTVCwa//IblQ1ig4xsTyj0ZUm5u4SAWtt5x0VQQW/j7m6JYExjLQ
nnNpyN2a1ZS8RmkFxYM9qsRhIYmrBpSU+NbJKvTPqaiHtZyRtTOfy8SzCVRlWOjWNtFL1ZbWdwBB
fJ+tVmOEU3WuAPkWCwsTxq6kbSd2dNeZhcvoELMNIz5vuTwsaB/eMDMZx717eZow5ebJ0lyeMqx0
8pupmGImn/2sBANxTXUaDwoxexNSACmv9LFH1KfAAGEfahuGpK2Wq4eXc7jooz1D6uGU083UMCn2
QwK8lw7ICQCQvnEJQrD8i2/I/ALyFhy7gTPEW6qGYPBKiuIUjx6XwqI+z+PsJMvQPTSNIADGpC2g
k09JdgoPNK3FNbWy/ofFHe8zftlqB0s757PagUk/dJk1oHIcK39gXpWwGgtR1G6lmbZ8uh2Pp5BT
W2n2lMydpW9mChpBnmoAie4ES8+XbWA2RrH1/YihcuMvZxlKZ9OZxV1StenNHFnOmZo6PVgvjMqv
PBSoaDc4Ft0KUitd2jbhB9qk94APvI+IttguKdOHNq9wS5qE3SuGc9Ytjp6MvVai6Ma3vZnC5i6W
5FQwdriJJ4PlsFcYB0XolAv6aBwsDuxnMBnhplJR9B1XIt9WyubD2+zy9GIpIu5Dd71kjYAUK8v6
5uShdTQnrModrltCKkV7zteqfQKuKF8tzFZjXfO2Q/hJ7/rGi3A1y6ltdprac9CJbdIC6Wz6+VT3
7iu4YZz0FsrniNe/s1qgK+AVYEXjka2+9Vz4PSLlYTq2F3s0GmkfnXRkWprAiPG9Ib2NUdexDnXc
X9tIqOm5nHJh3XTIqUMk1fADrmh/fCOORv7EvzNHBDO4DN39tAwfRYyJJGvsH+RoCe0NWLAthQ/b
W83YFYps0BTddexZY9DJLP7Ae6qvR+l1DwUjpitwXwtpDto/xereHpFwc1h0gxIt9+jk/h60mwzI
InvbYrV3O6AlEN9FB/jm1h3c7lsGsHNgU33blaUxb22kx3t7dYI3A1HE0cVwIldjeMk+0ueHna0u
8R6pOKeEfVV3/e1S4xsHnDwf1OogJ4z9xLh7usWNk1yJQpQnmvySw8dqL5+U9ZC5GM3RW+yoXyVX
FF3zINIsXjfh6kCXPph6roi586MD+7ATg1X/5PbkwSuX1d4ZlmpbdBAW7EKsExc32oKmTA+NntYK
8DqlmS4DGznN4ou6jHHGdaKTuEnPQsLBUFQmafqTXi4DoCJkNpwOUQ8QSExdfTBaVpE7MiUFmVbe
0e36ts4uL+768hJHj8wL3QYCRbjn8qIfLy/95XIAWEk0RFwuBwPnckiQ63khXk8O/71tXZo2/9lt
i4DbvwkN/oji9/x9/nNLZr1v8Rv/ryWjeIrYEsqjoGi2jpF/JQc9H3UYXRg4jxQvfv3K7/ct+cmU
/EUgG9KRYQfGVez35KD7yUS1Z8F8ID5oASb/K8lBsd4f//ACppwtzbVEhRnPc/iLOX96ARP77eEQ
ottt/daJjqLJ6At6XPJbSjJJ/DFluOt6SX33ChHX8OTgRY12UlvpAvoYfWqzilTxWqxOVZmB2ygu
rlVXYxk4FKuCdT0p34Zam+AVDHqOtltKO1AXc6tzsbgybMToal7sruYqemVFS+joYn/1QipnHQBa
JO88yDn8WBDWLZSx3qCG19qZ8k2Zev7OWtWyTek9mrxHmNCZd/PMix8OGibarBvb7w3sICq75M0b
gFYRmsK083t4FdZyQr1d5/gT2FfQzvIOzqq9VUPLJl8k4hi6SHEjFz0uqx8ukA7zZB5lE9jCfJYP
WGH9Z6/yvQOod83CEqNuOhfjxmbFtbPbosYWgG4YXi9XSEfULyPqXby9F4dvg80XoSheX10nc7Gr
yJuaHOlW969eNcCge6GSRCXP71OT9CyHQ28kYjLp1SDsI32Oth13AvgKBuFytrnMf/aRtdqH8xFm
1sMCM3u+byMmag+Ws9qKF7MJ22OWIoRi8u5Zy9Vg9jRpw1H7oACwtI+7YaDVTko6zl9HtCjuA8gO
okPW4q0X4Fg46NEHkc0be+nGYR/Kbjyo3ow/zKqOVFDUhQ8mf7Be3FATAonMKGJz0/30SQIMhm7O
ovQEhtwZsL4Npd+YvPEVBMPEBDQ866nkUNfonvf8VPi3dqu3xdwkD9i/zT364AKzWMi5t3EhYXRO
2X3YxYiOhdlYghZ7SaxtXpnNFmyZ9+xiziLcxGJz3hZJ7z3lljGfdJiAGKbVuhbp8qc+m5vtYHNf
BoTAMT+yq2tTcbfGqhPtzMS7Htp5bdpby3MIRWY/NpV7TUmYdkRqHMDkkKHyhgDpRfc0OynVcEt2
9wYXvb3OdFTQ1CTbAlduZjdfxapgjMr/fqiItp+ACXOMSG3edFQ2Tm3DQWfFWCTPfFqHG+aHkG9M
QfFgM/tJejVHma43VThsgXkynAS2fBWNOrv3Ofd87fnZcoerQqIiwGhY5M96mszNYmgaz+2KvijI
YCVJ8dDM1YEkRL5rfEJ5lIWTD8AEetd6qn4qhqg7qHhI+XNP54PEM/dV+ZR22DUNt3U//6iGgTht
PYuCgWzYHzMjTfeyVUb2SgVaPumKkXKAs0K91TN8JGbzEtMS0JM9CqmBnhpdBGmIYeeOzbA3m7Yh
/aA04SqXqrRFhjif2Fc6JLOOuW9cY6iRgauL6RZY7vAamh3Roi7Kz5FvN9cdBhHuwrFPrKJh/QGj
uv+FkvjvEPI/ei06ZNz/9Wtx+168l//zXn78D/SefxxFrr/516tRMXC0BDl7GoRMEP/walTmJ16J
ROfBdCjunz5TwN9fjeYnfoUvgqRcajE/5C/3+6vR/GSTOQeoTAIM1iG4yL8QqveZaf7xzei44PCJ
3wJCZOrpMYz8+6tp3RoNfhPLIcOX/ByUvFOte6il/5yGPK7Yae7ymQLlyJKKJeVDvcivRDBQzr3F
Gj2YZUQ3FIZeskEe6sTdW4axS09L2l73miS3InobjrexNl8aYpPZegdc3EO6tJT/gioOd5SeWPsG
cvD2UvN7m/KUp+0RlstVJu0H2bp3bKgPunEenNC6I5cgZPSN1eF+rv0dk48nz6ifFvKJWM8CJ+aG
Ad4y778t+dO8WhELoH6rVg7fmao9aDjFyaqdu9KZXmrbCeq+PPP12tUcuvOCgVHbb2cRPi8zcwgv
dJ47yeJWp/dFiOlMxesWy22PSwgQgdnjQx+po01GjEjr+Na3/rPpta+pwx9ZZDoHO5RXLAd3jDG/
A3XYNnVxcngC/eGT908qCX9uRvz6Ia44C2AvTJX/PE6ei1Z0MXHzHfzdbcT7pCBeFOnm3p3ne9Ua
3SYGyp4tamcMBDL4yfz7fwDnT+crEiScsJRkrC0VEgl3RdL8YcCRND7HAoHvngP7UtfJyRva/WRC
shpnFy5JLO6dMJMH9MdnMscvY5nYJ5f+41Uh7WSjNj9mu2/3i+SKRWcKm5oVFruwWk4TlgGQg1kg
PaaeJtXAYul4SLp5sT0A3IGBwHZu4+l8p22fGy9rtaoKXfJd9k0zAWkGewpLoBPfZyhUGz0tD4OZ
HJYuIVEgrC92I26oCN966XBTAqi7rpo6urn8+fylB+l/1jj6l/+v9e/1fy38/2ca9lwCHEBH//ox
GcQ8IpPovY3/yTOS3/nbM1J+8jwTpQXJAAarcq3S/7o+KCwosFkA5HJ8/9VI+u0RafOI9FfR+Mpd
+s1x/Nsjkl9iscOFQ1Kyw1qM0fsvPCKt9XLwtwgMn2floTNXfMbXa4Qj/vSIHGKpCrNYDwW6bT4X
TaVeGwVD3SMZu7Ic2+krnOBvYWa1P7zWLt/0SuiWYxwPO6fT1U6NVbtTruG/thYmvLGoo63lJfmH
m0fDl7/+Ufv/sv/G+4uAlPlvN4dwi977Pun+4fP4t9/86wPpOWiyV10Pb0d++qbktfnbfdb8RDvu
D5JsfuX3l7bzyTJ50/Nh8c2VwcU/y2+fSATaXDr5cEsHpCUTYPuvfCL5nP/pIykBxvFB9IUnfI4C
QCT+7nnLam3M+M/Ea62KxZ5qXAsrPsVljFYMKpxdw5XbtZnFNWmMwjndKLWmpp2JldIG+o8TaF+K
U8lFjpgQGOzNsJq8qLzlT9lq93JXz1c0VeNZru6vtlAm67HVCAbz0t9hq6O9sPrCRttDHebzuoy3
/WoUCyeZA/hZNWNhXno3kVU6DIqZmgdQ/ecHOVXYldvlKRrsGYzfMS+KwduIkcH9sDrNYo875MRZ
ReyZVg9ZEE4IvAOVz+AxS6EbBq3z6l3JF/MpdJP81Z6m6KlaXWrSZJFI4Ru/2kW1Nhvj8o1ZoUse
0VHUf8CBaKHbwLcytNnCTzatTTiwSi1w+2gMyvPUdfl9vVresN1luAGnm4gG1M4qYkFhteVmCJeB
BSqmOEwP1rcVpQuVuxpISvZekp2oVGXftARljNxhtc5VRvRZcOVZMzKrli65KOoiga2u51a3820M
dubqskvTSFyn/ABonwDv5ao63mB2eJkvGjwlJijgS1ei2ruI8pbVmRc7GH9QgK21itWpl6x2PfMi
2qPhgnSvKUea6aaPi484ebep3c6AOnWR9TE8R9wnywgCumFjPxCkoAmIaJ/0dFl/jbsQ+VxxkQDK
KakaNmS4AYFsx69c36gOYcOJj3bH38e6CAWzVuOhySLYISuYiURoFbY+XR4f2g7LzeEDfACCQqRx
EwFvwz+oQSEwFKvLkL0G9G51URwCuOo+944tztCVnFO4uhDj1YoYXQSJsl9liZy/VnGih0OxIXH8
tfPjCofyRbLop239Zg2sNTbLRcOIMLN9shhJnR3HMsLtUmNsTFd3YxE3UNy8Mqb15692R0YI00t3
UT4i5TN+DHXqUmxfnZDOaoeUqycS5QcQo2q1R3YXkWTUX6SSF8GkpopocHDGO0kaZSMvKkpjtVJG
sdYvvtT1o9tXy5Vtlev3NmuOMFFRWjq1JBpmrqZLgtpIL0NTZN8ivlzrbw05VDkXRaZ50WU6jLBZ
hSXynFOdp7R3UWtGbElf1xv7DBqlWlZtBxZHDyQWdsvVzunZjRmxtWBNvlENq7+li2GVo/QMc7F8
1dG0Q7oY2IW2v1ejjwDUzNL2m6smVAA06aavE0mBbTPEUxAZnX4G+1Cf4tUpmpG8uC4volF3dY5G
KuHODUz8y9KtStKog2opVk9puhpLlbkQrKJqCdUcSPQegrxkTeeFR4ShhCnxnlarAXXU9EOgnxG3
afCjLkKFL/7qTC17G/aEBFgfGBYHPbwPbd0EzCGabXzRrjpLYlpBoaei2gnq/wUjqib5kQ51/HlR
cXxjZhikd01v09IzWMu+GnxRrD13FpSvWdMMX4uLCDYyVilsdhHELoXbnPHKFGhjLwrZYqmhzZJV
2/QcJgjtrrbZ5iKenVcHbV903Wu3cihAlX5kF1Vt2fKcxm/PTsfPVnTAYDCPX3wwYr1IbxdPIL31
42n84qwmXDuM46/WqNDjlqspdxCrNNe/CHQ585ss65pFfe8IZx0j7hxmkzg4PVb/Lq8SVLwRPNYP
x4jwXjGdJ0JV9lrfJgNT+8B38YgyYYM2Hxjd4MUBCwro+vx7SnUkXhF7lMkiy95mpt/9mJ2u6gM9
qQ34U94yzlgc24tLWCYlQ1DORGz5XUgQhc6z/iCQ5cRUZBitOYnsKQgsJeFNOsZRAvtNumRXBpuW
BkkCAh98NJufk569a7MnoGZ1MFXJmE48nPy8fCoNvK3dwgpxi7+r+ZqoznQ20BS8h75uxQsjMOi2
5MfFySQ5/tlvx+ZVVal37aV5xCBL9YgLvDqy7+veK+8lKKnPzawy/rhJETaBokVjc8m0SJd1yXg7
q371dE1O9MJc1qSUS9ztp9mYlnfDP2FsA7shEk/sb/a+9jgHKl5Qorvle+sWx9ARLuJR7cpnnk3t
aSz89E6HldjbnqWQowmS8pPREl3MjcSIg3zJEYI1VXJK51B9mVNTb3KgNfdZ6psBY0qqgrpKzlwG
yyBeLIt7laxYg8bNy0Cc4HPt2/XWovpYm8p+7kk5n7N8BuCSpfaxcQvzGayx8UOkFa04gY14Cx/a
voLQQao3TpzwuTAjdVZV8lxVpnEOqzncZgQGmw31huxspMIKIqcmzYnX1qVN4JOD3yVmWWIA5Y8t
DmaV0mwKc495XFLndv1OATTcT9UQ0YFTGarBBQN5TITkqo84Ooy5Xr7nMWlAA8JUi+Wgiu8rmXen
oqYdR9Y/eaMO+JUD9HKYBn86hAk9SCWL5D0cZrAens4ePZqCBwAiy5EiRrlvaEOyM/OEsSs1G8x5
iOn6CrQP7a1yi+Itj0dSD54lJm/HdN3K9+A4VyVEzcOlI2J2NcRJ/9wsujqWRhsTNzLbXb+iUwoV
pckmI1tBIdaxDw4PoIDM6vjs8mp5oONLVKXTlPMpnwH6qNimvi8Avm+9jj33jidCfDVWYXwXmaN4
Mp2hPoOQSiE0Rq46ARtCVuDGcxPkzprl7mxxSL3Ju4OCGvU3ZbcWlHwzzm9lqvJ32P4hRdkse+y5
Hv1sm9xWvJU5SjBrqWmCWw3YHP6X1qhJmA1lfk4mp8w2LnhU3t+FDo9t1yf0pOEzfxGL62/Io9bn
rIZJuXGI22CH6iz7XY4cmin4RfGLdLq4ZaPvVQa5LIhOTpSSzCFawzKe2S99/2SY9ZUfghgB7JXK
L6PBN5IywfiooqY59Flh3WsRC7QZbkegbDB4PMhSRQdZ5P1XeM3VQztHhr8V0ZBcA+RubmSc8V1d
2JWf1GwTRmaGjibJNoYHDrDEuxp/jF9jq6eBgccSvhEMA/vZTKfmCynv+ux3AAsn1MR33iAp//Ha
ctD/NTh0Nm2bLAVASfVROQ5T3z4W852BqO7ar0vz0C7+hIRd9wbYFCW/L4vXW1uvdeb3nsw3mYyi
NHbOXI/fUgFHcu/bAKE1tMZjOiz6Ycwo0f76t2wcwui104wAktWznVLJ04t2v/DlJDLeJGV99lbc
WdwUn90sf6R8B9Myj7qTX8QO39mQhX3mEAAoCxfyJRDWflsSLIaVE0rU8xYB4E1Y64gRiiMoojI/
sl9SGTYn36qqR7+q5CPZ9fqWy0t+6qI5fzUANqWBxEv2nQ50fIDU5pI/Qeh3N3lypFOc99Obl8zm
fF1N9jgfM98as+u4FFZOzDeaj7T33O9hHpGlLk2KMCXp2XwT1ThHNqL1fDbmEQAh3lw/DKuTP6Io
bIcdYs4FPNnCEG0rC37W5BHtRGCp9JPPaA7EHkFX+roYxvJo+gUJfOjFPu+2eHyx4HI+qlnkd4DD
l/OS2P0Pe7W+z22Ydhv+4Mn76Ch8nOO5+zZVXnerQM8/t7grrCaKJMGcUb7HeAIwYzheTLo+9BXh
E0n7eFyEfY+zRG9NHVFciJOZTFyXr90qs3SyDOJAuuIhyVwHXVORDGSB7qIUtRqkLE1PisJMWqr4
pll/d4yGgnLVkvQe2uohKXTzhWIL4e3G9Y85kcwXYAAzRVCWb1f+OHT93tKgZ4MCsDS1NmcxrrKy
MY9CJRBJWxvCuTuvpTAuyTmx6n44JbFd1IdMej0LfwtmCFcC+NmtFsd6Mptsg5+JhaIbcw6dR7h6
8VDW9dauV85cCrLLCmh48KOTVXddFGlIBAcOZr4VoVWdsZgsxyFH802JY0gPrtmlR88tiYcR8hOP
BOGdo7Zk+c2rluJtvWX3/B3sIt8Ojm08mUM7nGn4tl+gzM1XmWUXHFV54QdQ/5agtjqXXxlNjhiG
qG46c0ZU70fgwzADVGFQ5VX6jn+8jY/k5KJ7AAb8K2QZqD++D2n6MPjFzxY+qM3XhY5wm6dnY/X/
bWheVEG7uO5NRGQEfwDQMFL5uBsmkS47x1uEEyADkBkliZEDCYVbACaJ64mtXBxnRYDJ+tj10H9H
t0wMrqYxi5tcJIV7bPuOHw3HeLPwUfy4mlE4b6T3hJWzDMok7MINBEbVbRBF5w5F5j4kH+P2037R
fboucSWBmZY2BXe2TO5A0sU3nQDb19LV+yg8SxKCn4p+PUYW9U4NcesFucySKz/jXDZFWXUbtRcS
ZBT6lJeU+blw1zsFS/AcHBVv8cD0rPbeGSz7VODpOgIKKI8jLpCrcpjjBh1aMZEYlsI8AIWurgz8
gYy3vaQJ4FHlt0R6G3FlA/6Ivihs4hwAlWYP+99h1n+Uy/htHsVY51+PVj/3EAbes3XA+nez1b/9
3t9mWdYnk2w3KURBDIO0OcP534ar6pOrsGWygGLI+ockvG19ctg+CeiltmX7cs1L/L5+8j7xC1BD
f6U51t/1F2arUv15kmXZNn97VzGdYEDGxO3vJ1lxSFiXyIU4kOIsMHblUgMXgQbKlVW5790cigdr
5jDd1JkZgC5n9mFms+Tg7PBQ1K7SJwhFCfBJTshAT5ogrj8PS0nMCh+mUpm7jSXbJMUR+FucDP2V
mSb2mgaPjCTwl5IvFrw3usJz4WWBBzH7kTs2Baa+We4Fux3ijKgEUpRb1YY9Vbyh6TvtzEyTbK/b
HxFDlqDnNBsivkj8bY7E+c7sh+QUsV/YzSLlOKuGZl8IWGtOXyS7rk+9m9S2wPvFSxs08DMOlEv9
j5RiD84WLu97qwudQzUP5pPilnOf1bI58JNR28KeMrVxer1c05sRW+5i3V4sqoRXRPQu2cC6fs89
i39QHeXpofBIkG+icc50EDsj+EB38B50nqKuamrELp5TfzOLvLlzMpCei3zrffN2qZKU52h+ZBF2
GkfsJO78EBuoN11nOCsagZw02u3kqH5vt+xTZIQwEuQEkERD5uTQjKImIjLpfhtnoXzumZjCCMzH
0Nyi43sQaLLREnr0bgtnG3KDYP6y9pPjYmbJ1vst7JJyENU7Z7qZ3mcbvvnp5OI88erz0lk8xBdh
yOecdPF1m84dHR7DvJ3iGDiq2dsgBrw+MzcUMbIrWUzqOHYUfRi5j59HVliIGIh+Y8VaKAjahnVi
D2BcVYIoYmf3IQM4VxAykaLbDKVWXzTh+5sSUxOA0theH4PujMekSD4SFgM7k0/lkeGTKsGAx+XB
rNzybQQieK8oJW5yWlPf2rr62nuz+ur7izpwNM4eC85uZ64S8gUido6OJTZPZdKoU5rDcGosGW+B
rZ+I0ESn0ZzKfdvYxtE3dXaADSoeeEFzBcAbVdEryPhEuxngBysc7hhmZbf55DApzTMQQYCkrNO8
tPg0XStVL73ixE0jTROqbJL5CTPSdFXozjpziBscRGr1+G67nkY5LR2Mq11K83np37BL61PI3f2I
c9N+7kzPiFnAVfreNtL2Ledo2QZZunRNME6G29z5ZoZ8O9SFsXq3efNRHzCwQGrQw6H24M/02XSg
1M/fBsOuPo9EzV+cCqMOJQ9+FE02QSjsIrZRiEPtClUO4SYb1uq1SoELGrS073lcAHjKEpHcpTEX
Fw812Vn3S38aqf2cedN700bQ530CCm5dO1nfraUWq/oO5Dm6N/sZ6pewUkHTugE7MxEeRUSrjBuI
kThitaUri79pmd4LeJe34bhk567VMEjCqdz1uQVQx3Omo1Iay0xv6PrBq3V47xHmPMUF85SxhkaF
gsWz9x694nYDuzI5iTSEa1DN8mTF3XRjgok6mLboT6VZ69uYKeubW3Mz5ry2oj/E/LlGn4P9i8P/
s9UWINfFUh1CTVqLZE/75BI43yYoxbdJbiUHlVh8t2ZdZHdhlOsHhHzTA2tZ3fOFa/ugRo7EzR5m
seqPRmO28HvH+JRBvzjSrEEnqIzmbEm/OCdU7V8aQ2qYVmb1Q9tcxDfLVBEdWzzjiYiouB874b5Y
YWMQyq51egOSuANMrFIi3nA/mtK2f0KY98gg6/rFrUxra6CweElifA8Z+dl+g9Fq2dlEXfcpCtbD
Ggvfm12syetHHb3slguy0YnoyVFFuI9jr0dZ6un5qspK+xQVyXKYC+kekHh4BBvaZRtZKbQrNJKv
3ODVvunE8Eg3YMUlkQyre61eE20VhyJq430vqBgJ2Q13RKVX4BIxMypjxRvuTMDGXlGcBzkmB3Yp
3MUWFgdZKvtdMbY2gwZDiStOas3OojvqBG6exdcZZ85rRjDNVg9ee+UsVnGum6kK4PB+B4/iMYHv
ruuYSJDirQYI7q22l2aCYqceo4YOTTHNV6g5oucmzccfZWcC22rt6dC3K5dMDaKxdnJeuCmaiGlj
4n5a743ZlhFdE7s+1crog8WBv9oOdJVyj/gZc2WAX+kaeabA6NivLXQOl5H8rVWNxyKihqKS6Jax
VHvkUb2zVitDkRbN0a8LJiAtwQ1rwpq9a9seVoRlunZ+ndl9R8nB6wvSYkMJgiQewAn2aX5FvGr9
d7GictdOALlpD7yxTuPJPFSqCTxtwyRcTFc/td0yc08Qy0402t2XfjE+2gbagd3ANuc4WfW8A7KH
yHOe/I2GqLowoMiLoTsziKm/1dCjiAAgr2QZVFxPNX88JZ95hloQIZepdm6JQtrUIUKmZF0531ha
HHp7WY5ynBaSBSJ/5Xb6wamdv2z4Hk+qO+qCPItXGkfIC4xIoqBxK9xillMBLTTsR7hlw7WTVuYT
CA+YPa0B6iNWKE82cFhwKrix6WzZLFjApBGSr4S9n1PYymsLSvUL34/mREFsONrocHnNDNVH0QO8
9ERNi0nUC3t2l1ROXJ7XbfMmzxmOR2MRPvEDKPgzpeKHiqb13j2BdNTpmvjOiuAN8X+0mbtPZOvN
pToDbzFP9EaKVz2ayL5gfpiBaYwQs7SAdSRkz8jOJ7L0szBsG0WdATk8y5yGbRlywiTydLKzvFI6
Bxwb8VXp4M+gI4RKI54cwDoE3kyGyKWEROSX1SPni6S8zSPDiLdGAcsad4MdxFdmR8xyK5om1ff+
NLXXJCjzh1Wa9aPgiQN/xJE6yKeG0bMtk88299BdynEXtK1lPXdqzPeTKJee/w6KtgjjZG+nApZw
lRBJxSUUNJ5IjmaRiN2gWLkwjbtfDbFlTbJ0arurtpqq7QCqd+OZE5dijhZc4LMoaDs9fehkmn7q
Wnxw/2vfVD6+y3o0mZg5UXXvG9HKlRygBKokCcrK1idltzmHVUiMiyNaXIyMCVUHMknnvJ46c7Cv
7cZ7FosGlSgw5wnssdsQ/M027rBD5XUXUZd2y33cDclNWpb6vrdC4xDi0yK6WfQH7VqS8lgpmfrN
4QerHHvPdzQ6lPFi82MYiufErRBj2F50NulFwGMb+70BJg6WVC6fIrXuEkpenUEqlnTrOn1es4H1
o+vZUOO+UwwZ2kk13yyWzDsSVuG5SJjPmLpSQcsjagMg0r0bkBIHRh4CT26w4IS5PSSB9kr4lgzm
3d2S28gFUDlXgUi02sWhGe/TXoURpytN+MevnBvltSO4/Mk5FhN+m7D34x2NemDulFmO7uxk4N+0
hXkyqjY1WwRcZaO+SvKwOiudM/gY5CLaFUSYvLpJ2x8bnVHdBFW6nQSTAScp1QYqgPPCi44bt2w9
bgeJFDsHteZ1YhXeUYWwxAaEJj+9MvNuZefmn8esLKAZl+aOOhO81ozevt/Mzp6MrYkgvUa6l4U+
r5oZFDKnAXvL9Hs6dWb/wDRkzznVPGUKL4mXt1+MsNoStYvvxtn4Wo4U4O2ocj/bJYEl6bWQKiou
LbVUXVALc7qu3bjftWHJgnFyUAYN67aFSzw2bz4YTNSKPtePZsZGwXQWl3J8H/JvwDoG4np4/Yeb
5T9JmIl/SHj9+Z72p4SXAdI71SYSYfZ87MhWGJuBCoUlsZfshZtWW3jYxufGF9OzZ1n+6+yN9b2I
l+jGm0XzNYSFu3PIg0OodUV0iIe5fp5sf9mbLrJQFN7siVrfOCOeFzFf2gSuk8NPAIGCw1EC21Xy
6mA7MDjUlLCtRF8eWAo4O+bXN56XGN8jWUVb20CWaaQI4KjrvAxNB1G8r91dCLXzVQyDAvPq9gH0
C7pY61qzzFz3zskz0reu3brbgl71VRsr9cZJPTq4KxOKgf17NbrnoacawAllAy4howEm5q27xPPD
OJSIUrPlRP9OcQIHVcH+FvUpt9I4luR624XHdtS6H6JvGEEZyGl4uRccCnejYVVfFlHkkH0SD0Vf
G8vxFCo1X8Vs7m1WAUI+VFU33ndIblaTmhXeznEmflDnSj7qcBlpFxs0ZhlTP1ZLRijOiP+XvDPr
jRvJ0vZfMeZi7mhwjSAxmAG+3DO1L5Ys3xBpSea+7/z138OU7bZctquqs9FjYHTRaJRkZmYkGXHO
e96lmI0wItVlNrTixKwbZWPpOMZX4ZgVuII1wYgTkto/t1X/vvLHgiGmFazMMokR/xXxCoskTCIY
GswM0mtRNlgEKxYw4yVZ94ypmqytlmgKgosxSjmhwX53Lv3rZYDlP7o+XESuedCdbe/03VbPzHZL
yBGMUXR1n1B4UQomXdfjZdFZsB2oF4hDLnDSm9vkIeLAR53dHkru+FB+61MlzilMUR7mHZnCdaGv
VHr5eKZ2mMsZUyVvHIp6e6rvtUOlT+QF6OtU/3eKXZ86U08QTd1BPPUJTdzqOJl7xHdXIXH2eeZU
JJ/SYJSHXgOOPl9QObUgxqEbaabGBCytu0wO3QrpVD3Qos9hjfHcHHszZzJqLJSl58O6dA4tj31o
fzRZpvmmLmQ/t0uh7frSgmJv5ljNlBE3LgqOcO5ZmtwzYUAfivafMOG2vjQhMa4He4DCYU/91liM
N3lpikWs5NeKHgSbXGHBDCXPrmHImwTdUinj/wfTJ6MU3kmS5k5anybNLF3EWU3Y4EFqU4bNbL4H
nA9V7R7dgzVvYNpdOjZRTQXfwYBJMy0jgeFIMQ99JAyA6MyPapACmkyieMN5d+g8xaELdaaGNIfI
vi6mJrWZ2lUo+6g56GDzqZUNpqY2mdpb3uTU6NLyllPzSyTmgWnE9G5qjS3Fsx9Ss3joGdJ8FFMD
3Uyt9Dg11enUXmMjQ6dNFuCw8af225ka8eHQk8dTe55MjTqCEv2EWEZ5309tfH3o6MupuU+nNn+c
Gv6QTTpxa37bFmgtmgMyEE0gQTPBBdYEHOh14yx+vaMecpu+ZRVqpg7jWxNAqJM2+GAR8Q1ltnIg
/eARpKyH2jZ3Kehtrbs29mV4mOlTDCnML+tSNSfCARolwsMx7V23utQeKtvHRbtE5/k0tE23I/ed
0ENbQ9INmveewiC7M+z8tAnSatmopKxSPHXXJQnHpMUpecR3GhotMpEh2uAOVNEK1CFjaOEpclfZ
SHCW9cC7Mhy9pbJyx3RP/jhGaSgSMBcdp40sOuxp4WF/Gw97nXnY9/xpC3SmzfDXC6bBDn1Fw3w5
gSim9QnmktZ3nhkOQbuD2Q/2Gn7QzfjeeF/slffFdXdeXRFJk14o8fmvX9H8zujd5BU11XSkZpoO
W6X87hU7ABbA8cBdQ7FxP8ZZFdQoqsLhPOqDUZ9TSecn5VCg0tCIaPmoWWO9xOYh+oQOqce+cAjc
VRp2sO90SUW9HF2DM1wn+VVdj/jP3Fd1Lm4xK+GoE2mGYUVkShs3gmgo8Q/NilMjKTGXRUu8pZJh
fwJOmQlpXzf9iESV8hOwIQlXxLoVqwFPixM7s8YPkMAwOEdSv20Ly17jgq68S4KuPIUKFV0x5fJO
dOwB8RGnIL7xHTEiHwlCspm6nujpPijvTM+Y9q9Ej//N/NTfkQf9GXH/pYxy52MH/DOs/quO0pZv
HdxgIDx8T4S2jbcg5QgFDeM1D1q33uo2rgIE70JFkDDw/4HVk7/AswJFmlQG1CLib0lFJLTp108g
xje2wSQBLjS+OuIQPPvNlqUmKn4WykAojmYCW+PYlaXsTRhD4khoNXicWq645zFV40VVioCnoYrs
dk7ikactIFygoHDzor3pVNR3M2nV1qqOleTM7ptpvunX1xlcEgZjGQJG+E2wDwZCAX3ysk94QwlO
yvBFOgeaI05/dtefikwtT7DQS4MLCxITyUuCtFX63VBCWpWy0pehn8XXZlpbw2wkPZv5ohwNlPyF
mjrrTNIyzUin7+CTemAfMzsM7Y3qpBbuz60bXreNVWwK2qKIJPH0PXFLvTNvyEJ84sPxxNpIqxl5
G82trAQGI7rixu6sSzR33Vm5xEW7E1DdujQxVpYpWli0RiGzVTB2Zraoejc4D2o8ZfCpAadfeDIf
1R2V2uRW2PXAAMzrXLkJpWaoG3OkH1y6pRmwx4pO9PPAT5UPUE8dB2x9CE4zl7FoAbpwWukQnGdl
lsngpNdh2S3seKgBcAyJD0RUlnjhZa1rk0OQNQ+xHnXEFTR19qwTBv7JN6WizCmdSRXCJeGs71rC
AmrLIYeiIVITEDnvo42m6N2lMirtFYK+5NFIfCUEDfO9eDkUnfK+KswB0ywMG7K1iSHLpaJbIC66
iV/lbKzA8+aAmvFtZsQt9QY+LCUmnyLPGK3b2ieRq840StDih1HW5Jw2SuEQk0FTtQ6CMgBCyBkM
zEIZ4WPYuNjeaNgLrbQ8bRd6WU0EPSW/9FsQLKPOcOQLbfW8QAmpzEg9SrpFbFn2MrKSfK9WdY+l
QGg0c0b7xLDlMtopKEGXuP/lkOxySGkBXc1sHNJhXZtFtsosbVjhgN7fS1I/z1QvdTaAQNVdn2cB
Yd8h0yNjJEfUVqfAPbceb7Ss7y9TD4qjWUMiiTSnuwg1dv04srCEyYvorNGwG2i4FuOwHhc/DT5T
VRENgq2EOtEn9WU3ljpePAHJdQBiE8PW3eFHmm30xHdWqUF+q6X6yV2pwf/LbOOdMBgCwXPvSW/L
Z0V7QiXBnc/EaoCWBmvKabFDwqo0n3eNauPKElQnaGfVBf7OIM5emtN9Nv3OqNOJPTe280IVTHwF
jpy4QJqsf6STHKRZ2nhl6C1EqxT0i3vdWBOhKfOFT/H2ye7M+qpxcx1rcku7IQh2vJucFTaY7w2A
TGEh0RP3eXoX01Hc4xSR30VZ3Xxiyh3eSc3aYs9I2mHEtUOVrnJe4R96iSqzeCj0pLpKE1Pbd45r
ZfNCl86NHoBEpT4WPvMwocXBfHPA8K8PDfJCjQFomOnjvhvDephh5mq+0/UCzKDF/7Ds8C3tvVBe
IOsQH0JK+qWfWC5mOWiArw1bwlHNA21LDRw/ycoFr8oKVceZVbGGi1Cm8MrwBc0/6UGh3U03wq0x
yvGTL7suX9idGr8bwRauhqSfiHZKO+vxNS/nTDI6PidD90Ws29qDQb6ysm7MPrUWThy754Yhm93A
HnHtMrZ5TvyoZzZJsOt9RDAtMcJszRtDRLgyhIZrfMKHEV5NhW4U4Xeki1tk2jCdG7rAOXGBHrWh
l+4FxhzPOs0sclubvEY1EK3OeCDFul+z+1P69hrO3xiMqz6vCW5QBT164PaweWnLmIjBW6AgWtEH
QPbAfr3cgeYW5BrGtDx4rjbjJoZ9XIDF+s1UrcYd0Qg8JLmwSFywa7269vS4WAdZ72ezNmiqG7wx
g6UQRsHg1hEnhojday82zQcws2iXqqP7QemqGzVPevyWGjSyuTqEV04pogTn8yiYwX7X4SEaCIep
WgnJQxOtbzXo6qcisuuzuMAjbAbc6F9EVu+c40pABxaOSsNCxOZ41YnK6zY6plw3UGjiW7/1iJcI
0Q63rSdPGLWqV8Bp3S6gkMSyhLlUEDUJbCxsepdR1DsXSToMmzbrLWzbSwW1RoOb7ixWu0CBSlgL
/HOCIrDmyAaKMx4F/Z3wq+zKK0KKtboVO6h9yb4nDnwPqZBABVh/+G4aRvmk1bWEVBnot60W2MvR
TOUSqxT71CvL/NFzvW7v5CEABKaTNZGPCtOs2dh25UYMuJczm5nsgbT0Ey6ZZQRSLe0NDDy4VXRx
w0K3KmvLiCs7DbvIWGXFtKKDgZ207Cxi+bAr2fpU/VdkaCooA1Q7yVdYkHLe2rnD9A+2+5SUaSWE
VHRtxzw3BiDwE93FIHXAxqq1kuZCixra6Mw2I9zEEsl8LTBDQIlguCoJ4eRkL6vyKs1kQtQLfTps
xRBvqwiQ9BTCV8Hh1YrovKp6byX9JNv5VkW6pwka/CQhNlYzpNedOncNIzhxrKFzVrrequ+EjIM7
zmyMjsogxzpFOllLj6lYJ3Fs41GDQQUZ7ggT6eAhm9p4mhGnozfKSRy4o7oN2iq9xdbYwEgLl9WT
sVBU88RPB+M+y1WyByBFboNKiHxmVSnyr6lOrzOpX/eqre9Mx49IbFKx0rW9eDZmY3c5phUL4rDp
zhRZ1/cWmeKffLsd79WuFOsYacW2Gm24PKOdXjtuYZ7KEn9gptWVuK/10ifrrTMohyzPxFgUHQRo
MB6657FbRPcZorkzCrbCXLsgLlAlKyc+dYbGfnBGRCh9IN4TJp2vBxH1C10xuZ09c1w4ZW7eKljE
bH14mXizQY5gIAsF8h3zL1JB8tgJ1kwo4ofUU7s7na0zJ0a1zLGp1rAwrkdyhrC77jd6H/s7EWTN
Fl9ZewJzxNp1lVWA+VhBhD2eAszD2w+DjgHTLIhMMYfLGj3Yw+Q3BY3M3pQu1twGbF6dMbnaPrtW
hYEw4UclhdFSzQOcSo1q8pK0N9jTRbOG/v9Eq+1bc3DLdee0N5ps8/sSn4J1a5YYMMjWZscKW0td
90qFj1kWe/FNwG1yX/RqPyNgbNwgzmmTpWZowbU+Om2/g7JPHEbW5LW3hHlpvneqeviYS+YOeFQE
zKW62GFXDxO3atBZ5ER3kqmDj5QXg/byNY+YEjdWxbadxw9BIToW0YFmOegcn2t3YlqPfhNdhgf6
tTMxsbNBUS4F5Ox4Yml7E187OFC3MaUzto3ZNQvtQO3OJ5Z3PvG9sUowNuHEAQ8zr1x5qg/NjQTu
287cupOZwWi6sxxDoLMqUQFF1M5cEtLNmMRR6blTP9kmmgrdGk7iZWXX+UIR2rkksfQcSxR3VpRq
d+VOlPVoIq9DRoDHXmucsbPuwG+XRScX7UR6byb6u8b45dQrEmYgSjWR5BNEQ2flSLFI6okl7qwD
oX48kOv1IVXwu6ZAhN5eCnthTEz8gr2OE2ywrnPJ5Gox+X4RNVCkcTtzFdshbXHi9TMBds475CSX
npxo/wgdcIlvh56UzkkXUAlNvLNxHzklwQLZgJm24q4SmXXFZsfUJilU/4EHWF0ZQ5dSQh/EB5MM
QU6ChDyykInwPvUFWIu90/ngnxzR4l3pd54E3abe3KZdgtAhPogeYM1UWP1OWgijmmQRSZwbKbvm
oCmLpmLyPvPg+EO2Y3yDDMzz0LY3FfFLcAcsHfaiqeyJ56luUiIqiVulZl/k0AEvRhk3D5kUQ74o
2iE9a2zJwNwW9bwKFUqcwWzVC7sS8UMFilEjHsPZ5qJKfdWApVrE1sLyTZQUuFK7qFnaHv84laQT
Y9PnzDl5IhzUDK3u3LvY7RK6JF3YOhG8WzA34HbMzGOTYOg8HVT0F6N2X1Wg3etaqPaJM4D4MnLy
gneZYicDzlvl0KyYmJqfKtw/snUOwjysXLXG9gw+DpmSzAwr/6I2TFqOOCajANBSGzn0MErnrBqu
eWaIXMDuGuNNf6TWYPc/qf12UzZJetJjf3DPtmRdi4zjIAhd5yRth/qmH6IKDD8e77vRkwoim6An
2BpPmXnpqzFsi0KQjHCAlP6WEPz/qDoX5MCaohJ/Tmi8fY73qbdP99/RGb/8y690RkPXBYbOguvh
qAij8CudEdteCc8RXbhmkYf+VZqrOZhwAKQhFoe0RbP1D5BEs7D2RdA7WfthOARK8ncIjVzxe5DE
sgxNUCRppjNZa0yg4jcgSRDROBkhSTKMAa8FrhqbpO7pJgEXVo6SdM8hKepEoznOBqnjgENUjFO5
L4yNGIEIHAIg1GVLcDgEcq2zrirRgY2MbrrFMxRKRRz158xVxBnDXTypXYcSDLr+U0mc62rEQYZx
M9X5xyrAMOYsVAmkm5XTiY53l39XkxFxVmQlmdgNtGkXNgjPpQRO3CKaQCTRe5YTb8JQRY3loZNt
GpO2xEq7RzyEyuWAoNeOuva9QOQyt7JcJ/JYE8HIbirNDRtzgOBmzKN5UpoQAgmVRegBAWqecqyN
Mz3uyQYgV0xJCYH3kDP1JuyJ0KRjX/iKw9TXtYN03YNBvUOGgyxCJZlyBu+83uZO6N6qdYAXlq5G
GDJxVPrnA4JTtFZKDxkEjWRwUcdxe1emVhAtozJQT3oVBUTbDefaoLWbQKu6x0xF90MdCphRxVV1
wRgHYgJMGqJJYs26c9XOOK0NQ7n1I6m+V7KU/EthyHY7FG131WLsuCwNz3uyB5CmuUdCJW8cvVge
8d4bXIeszC43GfTFUzUOMODna04/iia3tjh1mCWtjarzJm0Hwg589nWE1cqFnjgutaUchgUwDtWg
rRDX6FkCrpHAzXI2aJCHfLhTFJEEqVcq7AEdxj2GwmDCgQITxms1QpHG9DRRrBCpIXqTvecX4a4b
ZHfGDdWE2L/auYK2poXlF0P+8ktn0fZVhrBPaznDaMelkgR3OTPnxdgrJHOgu7hWFJnMEbgWF0xO
cXPCIhKEqDMu0C6qy9gOvQ0DavWEbxQze6WC8jpG6odiHMedb5Lbk9EknQ0hN2qZdfJjHaX9SjX6
ahtlaIiT1L4tig5lepmR4dz4l3ROAGqUne/QppHA09jmPtCa4YQZozn3jJKoUSbhAFrVPbKKhwRV
xkyTPZVT0d5htt94UEjr1FxiCB7cJER0lUS259RTjY+jVb7y5AjylnKCNP3EnWkg31gpqBcOVDo0
W8gYwS3PgTyrtERcQ4cTKSOTPtzFPmGclVQpJ+swixaZoRn2mj8iriXvjYTclzIebnS0SpuIe+pc
ZfnQtUL359hyAsgPBprpJBPmHc5u5rmV2MZGQ7MlER5lLiAXIW9qG+erskP1AdHJrT5iB4bnctPY
zq1MtXwe1lR9M0+g48XIWAyX+HeSCIK/3WJiKWgzfYQDkveFh8d/7QXXvW0PQDwDWRMQv9uHPAjz
8yAwu92gptY5XmAE9XVGO3IlbIXjttGuHZ1BmD0WBNu7udXe2k6vv2sS2W1E1w8fnThIbgeCyEqI
Q6H5kfs7+MQM2zCIc9Ng7qSD7u81/GhjvGTtFhCY8fpFaKJdH9REtzCBTYxiFWVhse68osazy3L9
dd5E6QWmssZtm+jezi0t/SZKKuMUzyL4HiyKuITQrZFULqB3wZv0zHWDjffF2IXaVVt6Yh125HvV
fp48htzCfKuuod9VWVWf4n1uLF1tLDY2xCIilGL7PE2T0Z9hW0ZrLg1XPRFurm2covNOLK0NT4Hp
IrxmLFA/uF3wjxRGwaQzilhZ8vzKcxnVyZVdeuq1qffgQAw9DZ+QmE6+8+JENeZNPpSPHU0e8hC1
mkuV+e+8tAqwNXsXEsfHMx9mRT1DYFYuXSWL1pM4qFpibezvDLh9wN/pOWa1UB41BN+L3JiyJpxa
2/S2llyJkDm6xYO7rOA8rUv+Z6Z1Y3pTtQa6zCrAwDxwLshv8c6iPkHgZTjBGbIoQuh1UuuLsm5P
PJHoG4k1wcdoBI9sWwzVw9St16Bf8qRyB75D5PqnrlMwNGKePGcvSk+AOMJxnllNt5RJ8lGr4oxY
MQXo1UwJPUVWIuzmPhR0ljz6/lZD3eIXOoywMGqfzAxFdpXLpaiUYe7DXJ23GYGwcIh2gWIWa6ux
zC3+9xd0pJJsNqFcabjIbwbMJsh5cHcTwQL3H9GrsHGV4T1qclAKV/PKK91lsLLwPAWuoqkvxjS+
hSvZrxKrtVdoI9/HKpBQnCPjE2XwMVTaLt7pjCJBk5wmWnSe2TlYxI/9qnbN9lojxeusbxXiRqK8
Pi8Jj5G29aHp842JKGeWVjScVV8182TAltbO9FMNd397lvkk1MxESdc/66A/LTLZhCc6foYw3PJx
INHOcuN14Kv83yYzkzW+uLsycmHeuxbA9GL0VUiEml0PySzIunzTlvE+GeJkJ2LRPBgQyJy56w/B
WTjULZwwDZ1SaijFdVHT6Y5FZzN0N+kLZNs3JwnwdbLC+xdzxQFEeGwU4zmpvZbAnaTFG93Ma59i
RvHied41ARrLvOIcCPQq6+lQMQEBQgzFY4rf/AVzzu4iiHwQvRQDLYkCYeY4zUD3rp/hf3nBxwI0
9KwhvDUqlZxo16kx4taYddy5rv/kcLs/jJZYUPacWT56gKgqJqGXW1xD2QpmJKUkBp55lPupgR0F
Myn9Ci+/8UHxCnXpAZnvmEXQHFDEIwToakx5nRL3LzuyPlZMVj54vPDM05jI2g5KkCRRJEOZvHyX
SVRQnogJGJTVTpRJc5mHrnc3zQfWCbLMT0yJY0iTZr4CPicm0I6RsW7i2is3XepYyKDwnkfTkJIz
h540veQM6NZNHLXntkWUtU5BdheMTBb6Sul3hU5qmVEUWLYnVs2BJK3TsU1JOgM8wOYcDHNmOfX4
qOP+uKEdqhaGNborvD1biBSatYbMsoYs+g6ohpbFChbS6op5jruiXlkLqdK+2fA/kM4nENy68tnA
KZDqhFsx6sVSV4laYCNeJHVHtoJQFkIfrhQYhbssAxeI8sHaBPCR97hf5/PKpKSwqqQMlnaqrvI6
QM056rgglQjvxYiKgvysbpXklXuGuQzQDQKeVQ5HmMa/hMNg6Ode25zo+vBJ0yogzJZjqkdUIqyn
hlhcqGyYRiJfbc8dHFBWKTZmJ/Xo+WtlzGaTBSJDi1Jrb2u3rN8NJnlwfdC3q05jeOP5WFUjh1mo
vggXbtuns6rzjGVEnhydb+6swBp7f24Y/QP/qD0NEjl+JGK8X7oI31cmKQWnah4ZEx1mCmoQTRrN
8TOTq9wnwdeCY7hJA9MnsVHKq7zlLHebnICZwo0udEvG5wQEuVconmzwkzQ6hXYT4QkAQnDJEwoX
KYfkfUofklylnm49jyrmqmbtphdGr2vnVqMLzDdj69nxXedMNA7pbp0f3BhlUcCfF2aH+3kaPCha
Up+xbcbbYoy6BUyVRygrzkamYbzwzLA5r03NfjDNmlgnZobMaTnoqYuMEFXOUCRU/oERbLPEq3CH
s/KB3aMOZnh4p+QvZ83GKaXYKpYcrvFjr0YGhs0uC6S7SCH07tAgDXcdYoiLnkSPTEj3UsUw8KFT
7WJjSBILh8hYIwwib88Li5UMhLZMShxcB1/LzktJfOAsd71lTt20TCFrLhpHIDlKIuse7xqU9oGN
K23Dhkf9mL3308D6wGwj2sEe5wYuK/PU1upcwkZpwOmrwPOvGB0ooBCCeKp87B9dBj1zEXDuubbO
Kw/VRG3lHO8JeTjJZPFO1K13bysuVSahbYuGgggeLSnJ0Rq38nyrJfG+bzFB4kSFEW1Q8i5Uq6lm
kaosVCSpTARdZBR59xgEXXMbQYzfhWU3cFu37dbALhn6VRMv9SpSF30SuZuOrC5HnUYeRRxuZfwE
BRuLIDvHeyHjUpSwKoy2uHwcFH84iVvhMSokuGGld6ji3KRTl5jtZat07Fg+szMvFMse1qMflZdd
Azrliyz/qHLDnJP/1m5DHck/+SpyRutDOVE48NflUJ8ljBDmvRcMN64bVNQLYbxnHDnyUfJ4maSj
/0gzpmMuU2oLbGUJKHfq4h3a6+4aJSrQLloO7SGVmfIhkU6zIm0l31g9VjZEEsa5Mx/7hKantrXL
0kav6hLzVtkRSWyt40QrG89FxthdJkY6uTaY5xXfl0VExvsh7TvurE6ssyl/LXWbMwMwUWDfIDMM
UkSD10Ub2J8cCv62dk771OH6eT3v2xSgGroU5am6i0RJNJdMnouu33Qe7sWTrYnQ2uAy4EgkbCUd
NpUtvdVgluRFws/ZRnzKB+T37Z5MCIhl0hV3UFad0wyxwKNCzTSZzqfksMLggxrkmUvUCfLMGOP8
FGet5EHabkNtZFnbTKWkbQwFFbVDBORSQyOMqGa0MJ5ONaU/LdKULR6vfmeNOpCQgQ4tFqV+Zq/c
MrSRJg2EC7gVw5QhduUHRygCcrtqR3c5JdIydwbnHClg/L6AcLkecGLfCN3o9wK4lrMjIq49biYo
jkSCK09RiH2wxv5KqaqumhEs287RX+hLF57ydgSpuHYSp9x7gxusUYrn74kEDtjiK2MrBzNZiqgr
zxjTqQ3DjlwsG6gL6MGL7Kq2GGJNrNDyWR299lZJRSdnVWtWZwIy+rJrBvJzo0G3H+LKmHQu+qcg
Sp0dZtQuMo4hMC7hJKrw5I3gjo0DHE6tGn+RK1Zz1stR35WujgHAMCTvGzi2j/hZxpcpjzvZ53F2
7patdR6jSGaIMqlHMh/ElUQbvbqMEH9eUFyH+US6HjZlqLPVFByi1x729A4RnVZMakpiryNtLG/C
nBoWdxkGiAmuhQuHLuZUhzA5L2IyNgXu3YS/SDkfqsi7M0M7WDOAN2xSPdpw26VCZ9SDPjOhPNvh
yNO9b0eDxCSq0KtG7zhNxtC4S3Dz2jmtFn70ZMNZ5HbjuTVa6BKiXPVOYZppZ2nVkt6kYelphbG1
VfMW/ygYoDqOHqGw9q2p+DjBRIa6RzoaFYAHY3/PDE2CtYROBfBQm2qx9JysIaO10pZGZtPtFq4y
rnC7wfUBldmD37uYdcsCyn5u0hjY8CEHW88uoBzZjMgiCVCOgY3WtNYCPX5CivhAiRVO0TozGQbt
e8RjYmGpoX/h4jK3LhF2EE/XReJhRL1A0cDop8Yy/ESJLKrOIJTZTGnMYikLN7wMsVnlq7X3CObY
wdDDjoBWK3WgB+dzaHO9wH0AjFm46LxmiAeiavIuMi60hG+JJFZtUSpx8s6IVSw8mQq2S1Qh4iNu
Tj4arZByyYkE8fZo2RLsprTcVYmrT+d8aspb8mRvAjeMzwITNjLxBRiz9ybWpP9e/PcI9ttnjHqx
r/fLgwb9qnkuh+tnfN5r/ERf0mym315mQVrfZv/cH/36Qm+e/4r6ncJEB599BRQf3tThHf/qGvG+
Durm6fm//wPAF6RXnZBd9fADShxnqff511Jg1Uhxr5sAv9MPKC6v980a/WwVfv0BX5bz13/z6gM8
Zk1aT18D6cDpK9x74r/+lSX47gr/WAJdf2tYOlIg/B1+tATO5CMtcJ6ewG9+Xpb8378E+6eEUBuM
58vgsf52CSQhQLqBv+ZfWYbvrvJqGYSjswhwTn60DNpbC5mywIPgN10GDEPt711N/+7joBtvrclI
zIIH+qNFsOGQElIF3/llEV7uvd/oXtCRaPzFB+KndwK2wDamqZajs5zfbgbWW3j4NqatDIimn9/u
0xvmwYLjuOdAvHUYj3Gjv9wB6usd0VbfMvpiw7Dxk/0tF4GZHrx/kwDy49bBfivA+hxViB8+CvIt
WwE0e+vzo/DbbYvIH/7guf239wPxFgr3NJ388SIQdzqdjPDJX9bo93si8LJ5ObO/K1z+To2AMQ6n
owr19vV+YGP+LFXyh1623d9oG2SwrB17Fmhk4yJr0c2fHIiURkzKNYbrv+lGYEyH9bG7AHe4ZWpE
wL8+CyYBhuSwMT9/+P+1wvC7U+ylcN4+UdkKcwoKOWoP1NS3SJpsKSdJ07cnoeDOp/jmOHx57l+K
r9/pAbCmaLHjPrz1ljrI0jCce7nBueC3awBVBLIxZcLn3uD32/sc/eii2HrLM84ZZxk/OgRtfk1W
Gnfa73cDHKqASXp01E2gC7LnNExfsdF++Xl1Ezj4/wvqZZLjXn5+v5PAMj7Xqf/8AWjQFXAbWNaP
F0FaNMlSUCf9rqWQhv3U0XeC85akEI0I8ld3AAiBYaoESpifb4Hfrg4kwM44thjG6O/QFIgpYmX6
ed0USPlWR/2iGXRHh5/fbhEmjAAF9ZG7ARxAsBAdOTMZHYef1/eC+Va1KArEpKWcfv630KKfFgWG
SiDIkYugT26QKvcUuvSXn1eLYFMVSwna7Xy+Vf7GvfAXCoivECTe4vHTAXwMnqsfYZQ/+4MvqNsf
f/8ZcTtUT8Bqr/5wioJ7ee1/YJP/82qdD6jgN7/8ghIeXufzP//8Af/40q9e68un+vIfN8FzuS8f
/eHwi+Hz2zzfJwCY/y998sv9m8ty//Rc+d/CYjBbJ73wz5HUrwfjL69fVfvky2WmldG1yfPl2Msy
KdmXXy4zXZZnihri2Mtu9uXwPTH4Ze8/+spBsn8k4PaHK/2ywx77Ers9ATZv/nOf5P/15mSP1VPw
aoWowaaT/NhXOdmXKeh9tP9yqZdm4dAvHn1t7tP4uwsfupBjL3y6jyp//9Q9P+ev3rYE8/zyH6ZH
7L//49Uj+c1O96t7/Gz/5A8/foZeMNVj3/7FU8Db//JGD08RaPq/4Mu8bJ6aR/8ZseSriwtjiv47
9l1fNmm4//jlOod3/YKuHnvh6324r2pMDl5d+wWuOvbaN0EUBa82rM9n3rEXvt0nQfzmfP/UfPuu
jRd86diLHzyaf7S1fEZ0j73+/XNVv5k9o5qIX737F4Tk2Kuf7dnM2bDq8tU9/nk+d+zV103I1X88
8Tn62tmrd/y1Sjz2upzKX3Nfz4PH7OO+fLOtkK08Vd+uP/CZpk0g7dGvh6L058eTCiSOc9DxL3MW
jFn5uhzg0pjaTUPBYz/DLbJZUtW+XOhwLL1c/F9Qbyz2T1RJrD9PMKl+bzb79jkO/vBaBoF7R3+Q
6RWmr/rLlT5/EoYSExxx7DKdTUrU5nVl8IJ1/AuW6ezZo8bZD99/C9N7/xcUk4vn2P9+0T/Pao5d
lsXX5+3nOctHlsJ/mlF69PX/PHXyyJf4C1kAR77Cn/oXHXn9PxX/HXn90/0TWQlfHtPp0ZX4e6k6
OCcQB/9HxzPjy6//+ZLzx/vRG86NNz+9kycGBvm2TDdBnRnRkhb+Z2/kR/3mV/rKH7vQL7SUH/2z
1y329BeP8fO+/J//DwAA//8=</cx:binary>
              </cx:geoCache>
            </cx:geography>
          </cx:layoutPr>
          <cx:valueColors>
            <cx:minColor>
              <a:schemeClr val="accent2">
                <a:lumMod val="60000"/>
                <a:lumOff val="40000"/>
              </a:schemeClr>
            </cx:minColor>
            <cx:midColor>
              <a:schemeClr val="accent2">
                <a:lumMod val="60000"/>
                <a:lumOff val="40000"/>
              </a:schemeClr>
            </cx:midColor>
            <cx:maxColor>
              <a:schemeClr val="accent2">
                <a:lumMod val="75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a:endParaRPr>
        </a:p>
      </cx:txPr>
    </cx:legend>
  </cx:chart>
  <cx:spPr>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title pos="t" align="ctr" overlay="0">
      <cx:tx>
        <cx:txData>
          <cx:v>Top 5 Cities by Sales</cx:v>
        </cx:txData>
      </cx:tx>
      <cx:txPr>
        <a:bodyPr vertOverflow="overflow" horzOverflow="overflow" wrap="square" lIns="0" tIns="0" rIns="0" bIns="0"/>
        <a:lstStyle/>
        <a:p>
          <a:pPr algn="ctr" rtl="0">
            <a:defRPr sz="1100" b="1" i="0">
              <a:solidFill>
                <a:srgbClr val="C00000"/>
              </a:solidFill>
              <a:latin typeface="Aptos" panose="020B0004020202020204" pitchFamily="34" charset="0"/>
              <a:ea typeface="Aptos" panose="020B0004020202020204" pitchFamily="34" charset="0"/>
              <a:cs typeface="Aptos" panose="020B0004020202020204" pitchFamily="34" charset="0"/>
            </a:defRPr>
          </a:pPr>
          <a:r>
            <a:rPr lang="en-IN" sz="1100" b="1">
              <a:solidFill>
                <a:srgbClr val="C00000"/>
              </a:solidFill>
            </a:rPr>
            <a:t>Top 5 Cities by Sales</a:t>
          </a:r>
        </a:p>
      </cx:txPr>
    </cx:title>
    <cx:plotArea>
      <cx:plotAreaRegion>
        <cx:series layoutId="treemap" uniqueId="{02E5991A-C1DD-4FFF-B2FB-45293DB8DE2F}">
          <cx:tx>
            <cx:txData>
              <cx:f>_xlchart.v1.8</cx:f>
              <cx:v>Sum of Amount</cx:v>
            </cx:txData>
          </cx:tx>
          <cx:dataLabels>
            <cx:txPr>
              <a:bodyPr spcFirstLastPara="1" vertOverflow="ellipsis" horzOverflow="overflow" wrap="square" lIns="0" tIns="0" rIns="0" bIns="0" anchor="ctr" anchorCtr="1"/>
              <a:lstStyle/>
              <a:p>
                <a:pPr algn="ctr" rtl="0">
                  <a:defRPr sz="700" b="1">
                    <a:solidFill>
                      <a:schemeClr val="bg1"/>
                    </a:solidFill>
                  </a:defRPr>
                </a:pPr>
                <a:endParaRPr lang="en-US" sz="700" b="1" i="0" u="none" strike="noStrike" baseline="0">
                  <a:solidFill>
                    <a:schemeClr val="bg1"/>
                  </a:solidFill>
                  <a:latin typeface="Aptos"/>
                </a:endParaRPr>
              </a:p>
            </cx:txPr>
            <cx:visibility seriesName="0" categoryName="1" value="1"/>
            <cx:separator>, </cx:separator>
          </cx:dataLabels>
          <cx:dataId val="0"/>
          <cx:layoutPr>
            <cx:parentLabelLayout val="overlapping"/>
          </cx:layoutPr>
        </cx:series>
      </cx:plotAreaRegion>
    </cx:plotArea>
  </cx:chart>
  <cx:spPr>
    <a:solidFill>
      <a:schemeClr val="bg1"/>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microsoft.com/office/2014/relationships/chartEx" Target="../charts/chartEx2.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3.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241299</xdr:colOff>
      <xdr:row>56</xdr:row>
      <xdr:rowOff>0</xdr:rowOff>
    </xdr:from>
    <xdr:to>
      <xdr:col>10</xdr:col>
      <xdr:colOff>596899</xdr:colOff>
      <xdr:row>70</xdr:row>
      <xdr:rowOff>135466</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BEBC25F5-D878-508F-EC20-4CD249F91A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22899" y="10312400"/>
              <a:ext cx="5492750" cy="271356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xdr:colOff>
      <xdr:row>0</xdr:row>
      <xdr:rowOff>6350</xdr:rowOff>
    </xdr:from>
    <xdr:to>
      <xdr:col>3</xdr:col>
      <xdr:colOff>0</xdr:colOff>
      <xdr:row>32</xdr:row>
      <xdr:rowOff>107950</xdr:rowOff>
    </xdr:to>
    <xdr:sp macro="" textlink="">
      <xdr:nvSpPr>
        <xdr:cNvPr id="2" name="Rectangle 1">
          <a:extLst>
            <a:ext uri="{FF2B5EF4-FFF2-40B4-BE49-F238E27FC236}">
              <a16:creationId xmlns:a16="http://schemas.microsoft.com/office/drawing/2014/main" id="{2E8F4CFF-32C5-4867-77B2-C31C9D604298}"/>
            </a:ext>
          </a:extLst>
        </xdr:cNvPr>
        <xdr:cNvSpPr/>
      </xdr:nvSpPr>
      <xdr:spPr>
        <a:xfrm>
          <a:off x="12700" y="6350"/>
          <a:ext cx="1593850" cy="5994400"/>
        </a:xfrm>
        <a:prstGeom prst="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304800</xdr:colOff>
      <xdr:row>0</xdr:row>
      <xdr:rowOff>0</xdr:rowOff>
    </xdr:from>
    <xdr:to>
      <xdr:col>19</xdr:col>
      <xdr:colOff>101600</xdr:colOff>
      <xdr:row>32</xdr:row>
      <xdr:rowOff>107950</xdr:rowOff>
    </xdr:to>
    <xdr:sp macro="" textlink="">
      <xdr:nvSpPr>
        <xdr:cNvPr id="3" name="Rectangle 2">
          <a:extLst>
            <a:ext uri="{FF2B5EF4-FFF2-40B4-BE49-F238E27FC236}">
              <a16:creationId xmlns:a16="http://schemas.microsoft.com/office/drawing/2014/main" id="{46065B7B-612C-4CE6-8E03-A1BFFB9FBF92}"/>
            </a:ext>
          </a:extLst>
        </xdr:cNvPr>
        <xdr:cNvSpPr/>
      </xdr:nvSpPr>
      <xdr:spPr>
        <a:xfrm>
          <a:off x="1587500" y="0"/>
          <a:ext cx="10414000" cy="6000750"/>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p>
      </xdr:txBody>
    </xdr:sp>
    <xdr:clientData/>
  </xdr:twoCellAnchor>
  <xdr:twoCellAnchor>
    <xdr:from>
      <xdr:col>0</xdr:col>
      <xdr:colOff>0</xdr:colOff>
      <xdr:row>2</xdr:row>
      <xdr:rowOff>179917</xdr:rowOff>
    </xdr:from>
    <xdr:to>
      <xdr:col>1</xdr:col>
      <xdr:colOff>635000</xdr:colOff>
      <xdr:row>5</xdr:row>
      <xdr:rowOff>148167</xdr:rowOff>
    </xdr:to>
    <xdr:sp macro="" textlink="Pivot!A8">
      <xdr:nvSpPr>
        <xdr:cNvPr id="4" name="TextBox 3">
          <a:extLst>
            <a:ext uri="{FF2B5EF4-FFF2-40B4-BE49-F238E27FC236}">
              <a16:creationId xmlns:a16="http://schemas.microsoft.com/office/drawing/2014/main" id="{0023E878-E217-284E-929E-04E4442DE36E}"/>
            </a:ext>
          </a:extLst>
        </xdr:cNvPr>
        <xdr:cNvSpPr txBox="1"/>
      </xdr:nvSpPr>
      <xdr:spPr>
        <a:xfrm>
          <a:off x="0" y="548217"/>
          <a:ext cx="965200" cy="520700"/>
        </a:xfrm>
        <a:prstGeom prst="rect">
          <a:avLst/>
        </a:prstGeom>
        <a:noFill/>
        <a:ln w="9525" cmpd="sng">
          <a:noFill/>
        </a:ln>
        <a:effectLst>
          <a:glow rad="228600">
            <a:schemeClr val="accent2">
              <a:satMod val="175000"/>
              <a:alpha val="40000"/>
            </a:schemeClr>
          </a:glow>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F2DD86F-3F96-4C5A-A666-AAFEDBDB2A99}" type="TxLink">
            <a:rPr lang="en-US" sz="1600" b="1" i="0" u="none" strike="noStrike" cap="none" spc="0">
              <a:ln w="3175" cap="flat">
                <a:solidFill>
                  <a:schemeClr val="accent2">
                    <a:alpha val="6000"/>
                  </a:schemeClr>
                </a:solidFill>
                <a:prstDash val="solid"/>
              </a:ln>
              <a:gradFill>
                <a:gsLst>
                  <a:gs pos="100000">
                    <a:schemeClr val="accent1">
                      <a:lumMod val="0"/>
                      <a:lumOff val="100000"/>
                    </a:schemeClr>
                  </a:gs>
                  <a:gs pos="100000">
                    <a:schemeClr val="accent1">
                      <a:lumMod val="100000"/>
                    </a:schemeClr>
                  </a:gs>
                </a:gsLst>
                <a:path path="circle">
                  <a:fillToRect l="50000" t="-80000" r="50000" b="180000"/>
                </a:path>
              </a:gradFill>
              <a:effectLst>
                <a:glow rad="228600">
                  <a:schemeClr val="accent2">
                    <a:satMod val="175000"/>
                    <a:alpha val="40000"/>
                  </a:schemeClr>
                </a:glow>
                <a:outerShdw dist="38100" dir="2700000" algn="tl" rotWithShape="0">
                  <a:schemeClr val="accent2">
                    <a:alpha val="81000"/>
                  </a:schemeClr>
                </a:outerShdw>
              </a:effectLst>
              <a:latin typeface="Aptos"/>
            </a:rPr>
            <a:pPr algn="l"/>
            <a:t>₹ 431.5k</a:t>
          </a:fld>
          <a:endParaRPr lang="en-IN" sz="1600" b="1" cap="none" spc="0">
            <a:ln w="3175" cap="flat">
              <a:solidFill>
                <a:schemeClr val="accent2">
                  <a:alpha val="6000"/>
                </a:schemeClr>
              </a:solidFill>
              <a:prstDash val="solid"/>
            </a:ln>
            <a:gradFill>
              <a:gsLst>
                <a:gs pos="100000">
                  <a:schemeClr val="accent1">
                    <a:lumMod val="0"/>
                    <a:lumOff val="100000"/>
                  </a:schemeClr>
                </a:gs>
                <a:gs pos="100000">
                  <a:schemeClr val="accent1">
                    <a:lumMod val="100000"/>
                  </a:schemeClr>
                </a:gs>
              </a:gsLst>
              <a:path path="circle">
                <a:fillToRect l="50000" t="-80000" r="50000" b="180000"/>
              </a:path>
            </a:gradFill>
            <a:effectLst>
              <a:glow rad="228600">
                <a:schemeClr val="accent2">
                  <a:satMod val="175000"/>
                  <a:alpha val="40000"/>
                </a:schemeClr>
              </a:glow>
              <a:outerShdw dist="38100" dir="2700000" algn="tl" rotWithShape="0">
                <a:schemeClr val="accent2">
                  <a:alpha val="81000"/>
                </a:schemeClr>
              </a:outerShdw>
            </a:effectLst>
          </a:endParaRPr>
        </a:p>
      </xdr:txBody>
    </xdr:sp>
    <xdr:clientData/>
  </xdr:twoCellAnchor>
  <xdr:twoCellAnchor>
    <xdr:from>
      <xdr:col>0</xdr:col>
      <xdr:colOff>0</xdr:colOff>
      <xdr:row>2</xdr:row>
      <xdr:rowOff>101600</xdr:rowOff>
    </xdr:from>
    <xdr:to>
      <xdr:col>1</xdr:col>
      <xdr:colOff>501650</xdr:colOff>
      <xdr:row>3</xdr:row>
      <xdr:rowOff>50800</xdr:rowOff>
    </xdr:to>
    <xdr:sp macro="" textlink="">
      <xdr:nvSpPr>
        <xdr:cNvPr id="5" name="TextBox 4">
          <a:extLst>
            <a:ext uri="{FF2B5EF4-FFF2-40B4-BE49-F238E27FC236}">
              <a16:creationId xmlns:a16="http://schemas.microsoft.com/office/drawing/2014/main" id="{B6B8850F-0B13-D7F0-1DC5-52C595D707BA}"/>
            </a:ext>
          </a:extLst>
        </xdr:cNvPr>
        <xdr:cNvSpPr txBox="1"/>
      </xdr:nvSpPr>
      <xdr:spPr>
        <a:xfrm>
          <a:off x="0" y="469900"/>
          <a:ext cx="831850" cy="133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100" b="1">
              <a:ln w="3175" cmpd="dbl">
                <a:solidFill>
                  <a:schemeClr val="accent2">
                    <a:lumMod val="75000"/>
                    <a:alpha val="0"/>
                  </a:schemeClr>
                </a:solidFill>
              </a:ln>
              <a:solidFill>
                <a:schemeClr val="bg1"/>
              </a:solidFill>
              <a:latin typeface="+mn-lt"/>
              <a:ea typeface="+mn-ea"/>
              <a:cs typeface="+mn-cs"/>
            </a:rPr>
            <a:t>Sales</a:t>
          </a:r>
        </a:p>
      </xdr:txBody>
    </xdr:sp>
    <xdr:clientData/>
  </xdr:twoCellAnchor>
  <xdr:twoCellAnchor>
    <xdr:from>
      <xdr:col>0</xdr:col>
      <xdr:colOff>0</xdr:colOff>
      <xdr:row>5</xdr:row>
      <xdr:rowOff>171451</xdr:rowOff>
    </xdr:from>
    <xdr:to>
      <xdr:col>1</xdr:col>
      <xdr:colOff>635000</xdr:colOff>
      <xdr:row>8</xdr:row>
      <xdr:rowOff>139701</xdr:rowOff>
    </xdr:to>
    <xdr:sp macro="" textlink="Pivot!B8">
      <xdr:nvSpPr>
        <xdr:cNvPr id="7" name="TextBox 6">
          <a:extLst>
            <a:ext uri="{FF2B5EF4-FFF2-40B4-BE49-F238E27FC236}">
              <a16:creationId xmlns:a16="http://schemas.microsoft.com/office/drawing/2014/main" id="{206A52C7-7DA3-4B0F-BF95-CD9E3B75A79D}"/>
            </a:ext>
          </a:extLst>
        </xdr:cNvPr>
        <xdr:cNvSpPr txBox="1"/>
      </xdr:nvSpPr>
      <xdr:spPr>
        <a:xfrm>
          <a:off x="0" y="1092201"/>
          <a:ext cx="965200" cy="5207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3E720EA-D17C-44A8-A008-B92AA69EB505}" type="TxLink">
            <a:rPr lang="en-US" sz="1600" b="1" i="0" u="none" strike="noStrike" cap="none" spc="0">
              <a:ln w="3175" cap="flat">
                <a:solidFill>
                  <a:schemeClr val="accent2">
                    <a:alpha val="99000"/>
                  </a:schemeClr>
                </a:solidFill>
                <a:prstDash val="solid"/>
              </a:ln>
              <a:solidFill>
                <a:srgbClr val="FFFFFF"/>
              </a:solidFill>
              <a:effectLst>
                <a:glow>
                  <a:schemeClr val="accent1"/>
                </a:glow>
                <a:outerShdw dist="38100" dir="2700000" algn="tl" rotWithShape="0">
                  <a:schemeClr val="accent2"/>
                </a:outerShdw>
              </a:effectLst>
              <a:latin typeface="Aptos"/>
              <a:ea typeface="+mn-ea"/>
              <a:cs typeface="+mn-cs"/>
            </a:rPr>
            <a:pPr marL="0" indent="0" algn="l"/>
            <a:t>₹ 24.0k</a:t>
          </a:fld>
          <a:endParaRPr lang="en-IN" sz="1600" b="1" i="0" u="none" strike="noStrike" cap="none" spc="0">
            <a:ln w="3175" cap="flat">
              <a:solidFill>
                <a:schemeClr val="accent2">
                  <a:alpha val="99000"/>
                </a:schemeClr>
              </a:solidFill>
              <a:prstDash val="solid"/>
            </a:ln>
            <a:solidFill>
              <a:srgbClr val="FFFFFF"/>
            </a:solidFill>
            <a:effectLst>
              <a:glow>
                <a:schemeClr val="accent1"/>
              </a:glow>
              <a:outerShdw dist="38100" dir="2700000" algn="tl" rotWithShape="0">
                <a:schemeClr val="accent2"/>
              </a:outerShdw>
            </a:effectLst>
            <a:latin typeface="Aptos"/>
            <a:ea typeface="+mn-ea"/>
            <a:cs typeface="+mn-cs"/>
          </a:endParaRPr>
        </a:p>
      </xdr:txBody>
    </xdr:sp>
    <xdr:clientData/>
  </xdr:twoCellAnchor>
  <xdr:twoCellAnchor>
    <xdr:from>
      <xdr:col>0</xdr:col>
      <xdr:colOff>0</xdr:colOff>
      <xdr:row>5</xdr:row>
      <xdr:rowOff>93134</xdr:rowOff>
    </xdr:from>
    <xdr:to>
      <xdr:col>1</xdr:col>
      <xdr:colOff>501650</xdr:colOff>
      <xdr:row>6</xdr:row>
      <xdr:rowOff>42334</xdr:rowOff>
    </xdr:to>
    <xdr:sp macro="" textlink="">
      <xdr:nvSpPr>
        <xdr:cNvPr id="8" name="TextBox 7">
          <a:extLst>
            <a:ext uri="{FF2B5EF4-FFF2-40B4-BE49-F238E27FC236}">
              <a16:creationId xmlns:a16="http://schemas.microsoft.com/office/drawing/2014/main" id="{1DFE043B-8EBC-3325-872A-E28C7AC264B5}"/>
            </a:ext>
          </a:extLst>
        </xdr:cNvPr>
        <xdr:cNvSpPr txBox="1"/>
      </xdr:nvSpPr>
      <xdr:spPr>
        <a:xfrm>
          <a:off x="0" y="1013884"/>
          <a:ext cx="831850" cy="133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100" b="1">
              <a:ln w="3175" cmpd="dbl">
                <a:solidFill>
                  <a:schemeClr val="accent2">
                    <a:lumMod val="75000"/>
                    <a:alpha val="0"/>
                  </a:schemeClr>
                </a:solidFill>
              </a:ln>
              <a:solidFill>
                <a:schemeClr val="bg1"/>
              </a:solidFill>
              <a:latin typeface="+mn-lt"/>
              <a:ea typeface="+mn-ea"/>
              <a:cs typeface="+mn-cs"/>
            </a:rPr>
            <a:t>Profit</a:t>
          </a:r>
        </a:p>
      </xdr:txBody>
    </xdr:sp>
    <xdr:clientData/>
  </xdr:twoCellAnchor>
  <xdr:twoCellAnchor>
    <xdr:from>
      <xdr:col>0</xdr:col>
      <xdr:colOff>0</xdr:colOff>
      <xdr:row>8</xdr:row>
      <xdr:rowOff>162985</xdr:rowOff>
    </xdr:from>
    <xdr:to>
      <xdr:col>1</xdr:col>
      <xdr:colOff>635000</xdr:colOff>
      <xdr:row>11</xdr:row>
      <xdr:rowOff>131235</xdr:rowOff>
    </xdr:to>
    <xdr:sp macro="" textlink="Pivot!C8">
      <xdr:nvSpPr>
        <xdr:cNvPr id="9" name="TextBox 8">
          <a:extLst>
            <a:ext uri="{FF2B5EF4-FFF2-40B4-BE49-F238E27FC236}">
              <a16:creationId xmlns:a16="http://schemas.microsoft.com/office/drawing/2014/main" id="{A4DBC6F3-FDD6-A121-BD6E-B1ADBE0B971D}"/>
            </a:ext>
          </a:extLst>
        </xdr:cNvPr>
        <xdr:cNvSpPr txBox="1"/>
      </xdr:nvSpPr>
      <xdr:spPr>
        <a:xfrm>
          <a:off x="0" y="1636185"/>
          <a:ext cx="965200" cy="5207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26DBE0A-5285-4A79-8C73-7689B68F3B56}" type="TxLink">
            <a:rPr lang="en-US" sz="1600" b="1" i="0" u="none" strike="noStrike" cap="none" spc="0">
              <a:ln w="3175" cap="flat">
                <a:solidFill>
                  <a:schemeClr val="accent2">
                    <a:alpha val="99000"/>
                  </a:schemeClr>
                </a:solidFill>
                <a:prstDash val="solid"/>
              </a:ln>
              <a:solidFill>
                <a:srgbClr val="FFFFFF"/>
              </a:solidFill>
              <a:effectLst>
                <a:glow>
                  <a:schemeClr val="accent1"/>
                </a:glow>
                <a:outerShdw dist="38100" dir="2700000" algn="tl" rotWithShape="0">
                  <a:schemeClr val="accent2"/>
                </a:outerShdw>
              </a:effectLst>
              <a:latin typeface="Aptos"/>
              <a:ea typeface="+mn-ea"/>
              <a:cs typeface="+mn-cs"/>
            </a:rPr>
            <a:pPr marL="0" indent="0" algn="l"/>
            <a:t> 5,615 </a:t>
          </a:fld>
          <a:endParaRPr lang="en-IN" sz="1600" b="1" i="0" u="none" strike="noStrike" cap="none" spc="0">
            <a:ln w="3175" cap="flat">
              <a:solidFill>
                <a:schemeClr val="accent2">
                  <a:alpha val="99000"/>
                </a:schemeClr>
              </a:solidFill>
              <a:prstDash val="solid"/>
            </a:ln>
            <a:solidFill>
              <a:srgbClr val="FFFFFF"/>
            </a:solidFill>
            <a:effectLst>
              <a:glow>
                <a:schemeClr val="accent1"/>
              </a:glow>
              <a:outerShdw dist="38100" dir="2700000" algn="tl" rotWithShape="0">
                <a:schemeClr val="accent2"/>
              </a:outerShdw>
            </a:effectLst>
            <a:latin typeface="Aptos"/>
            <a:ea typeface="+mn-ea"/>
            <a:cs typeface="+mn-cs"/>
          </a:endParaRPr>
        </a:p>
      </xdr:txBody>
    </xdr:sp>
    <xdr:clientData/>
  </xdr:twoCellAnchor>
  <xdr:twoCellAnchor>
    <xdr:from>
      <xdr:col>0</xdr:col>
      <xdr:colOff>0</xdr:colOff>
      <xdr:row>8</xdr:row>
      <xdr:rowOff>84668</xdr:rowOff>
    </xdr:from>
    <xdr:to>
      <xdr:col>1</xdr:col>
      <xdr:colOff>501650</xdr:colOff>
      <xdr:row>9</xdr:row>
      <xdr:rowOff>33868</xdr:rowOff>
    </xdr:to>
    <xdr:sp macro="" textlink="">
      <xdr:nvSpPr>
        <xdr:cNvPr id="10" name="TextBox 9">
          <a:extLst>
            <a:ext uri="{FF2B5EF4-FFF2-40B4-BE49-F238E27FC236}">
              <a16:creationId xmlns:a16="http://schemas.microsoft.com/office/drawing/2014/main" id="{A8960A16-DF6C-D185-1A2B-D6B06B9ABE81}"/>
            </a:ext>
          </a:extLst>
        </xdr:cNvPr>
        <xdr:cNvSpPr txBox="1"/>
      </xdr:nvSpPr>
      <xdr:spPr>
        <a:xfrm>
          <a:off x="0" y="1557868"/>
          <a:ext cx="831850" cy="133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100" b="1">
              <a:ln w="3175" cmpd="dbl">
                <a:solidFill>
                  <a:schemeClr val="accent2">
                    <a:lumMod val="75000"/>
                    <a:alpha val="0"/>
                  </a:schemeClr>
                </a:solidFill>
              </a:ln>
              <a:solidFill>
                <a:schemeClr val="bg1"/>
              </a:solidFill>
              <a:latin typeface="+mn-lt"/>
              <a:ea typeface="+mn-ea"/>
              <a:cs typeface="+mn-cs"/>
            </a:rPr>
            <a:t>Quantity</a:t>
          </a:r>
        </a:p>
      </xdr:txBody>
    </xdr:sp>
    <xdr:clientData/>
  </xdr:twoCellAnchor>
  <xdr:twoCellAnchor>
    <xdr:from>
      <xdr:col>0</xdr:col>
      <xdr:colOff>0</xdr:colOff>
      <xdr:row>11</xdr:row>
      <xdr:rowOff>173569</xdr:rowOff>
    </xdr:from>
    <xdr:to>
      <xdr:col>1</xdr:col>
      <xdr:colOff>635000</xdr:colOff>
      <xdr:row>14</xdr:row>
      <xdr:rowOff>141819</xdr:rowOff>
    </xdr:to>
    <xdr:sp macro="" textlink="Pivot!D8">
      <xdr:nvSpPr>
        <xdr:cNvPr id="11" name="TextBox 10">
          <a:extLst>
            <a:ext uri="{FF2B5EF4-FFF2-40B4-BE49-F238E27FC236}">
              <a16:creationId xmlns:a16="http://schemas.microsoft.com/office/drawing/2014/main" id="{471AAC69-9A13-C076-7E2D-2141A499B379}"/>
            </a:ext>
          </a:extLst>
        </xdr:cNvPr>
        <xdr:cNvSpPr txBox="1"/>
      </xdr:nvSpPr>
      <xdr:spPr>
        <a:xfrm>
          <a:off x="0" y="2199219"/>
          <a:ext cx="965200" cy="5207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786E1A4-8913-4EAF-B00E-E9064EECE873}" type="TxLink">
            <a:rPr lang="en-US" sz="1600" b="1" i="0" u="none" strike="noStrike" cap="none" spc="0">
              <a:ln w="3175" cap="flat">
                <a:solidFill>
                  <a:schemeClr val="accent2">
                    <a:alpha val="72000"/>
                  </a:schemeClr>
                </a:solidFill>
                <a:prstDash val="solid"/>
              </a:ln>
              <a:solidFill>
                <a:srgbClr val="FFFFFF"/>
              </a:solidFill>
              <a:effectLst>
                <a:glow>
                  <a:schemeClr val="accent1"/>
                </a:glow>
                <a:outerShdw dist="38100" dir="2700000" algn="tl" rotWithShape="0">
                  <a:schemeClr val="accent2"/>
                </a:outerShdw>
              </a:effectLst>
              <a:latin typeface="Aptos"/>
              <a:ea typeface="+mn-ea"/>
              <a:cs typeface="+mn-cs"/>
            </a:rPr>
            <a:pPr marL="0" indent="0" algn="l"/>
            <a:t>5.6%</a:t>
          </a:fld>
          <a:endParaRPr lang="en-IN" sz="1600" b="1" i="0" u="none" strike="noStrike" cap="none" spc="0">
            <a:ln w="3175" cap="flat">
              <a:solidFill>
                <a:schemeClr val="accent2">
                  <a:alpha val="72000"/>
                </a:schemeClr>
              </a:solidFill>
              <a:prstDash val="solid"/>
            </a:ln>
            <a:solidFill>
              <a:srgbClr val="FFFFFF"/>
            </a:solidFill>
            <a:effectLst>
              <a:glow>
                <a:schemeClr val="accent1"/>
              </a:glow>
              <a:outerShdw dist="38100" dir="2700000" algn="tl" rotWithShape="0">
                <a:schemeClr val="accent2"/>
              </a:outerShdw>
            </a:effectLst>
            <a:latin typeface="Aptos"/>
            <a:ea typeface="+mn-ea"/>
            <a:cs typeface="+mn-cs"/>
          </a:endParaRPr>
        </a:p>
      </xdr:txBody>
    </xdr:sp>
    <xdr:clientData/>
  </xdr:twoCellAnchor>
  <xdr:twoCellAnchor>
    <xdr:from>
      <xdr:col>0</xdr:col>
      <xdr:colOff>0</xdr:colOff>
      <xdr:row>11</xdr:row>
      <xdr:rowOff>76202</xdr:rowOff>
    </xdr:from>
    <xdr:to>
      <xdr:col>2</xdr:col>
      <xdr:colOff>234950</xdr:colOff>
      <xdr:row>12</xdr:row>
      <xdr:rowOff>44452</xdr:rowOff>
    </xdr:to>
    <xdr:sp macro="" textlink="">
      <xdr:nvSpPr>
        <xdr:cNvPr id="12" name="TextBox 11">
          <a:extLst>
            <a:ext uri="{FF2B5EF4-FFF2-40B4-BE49-F238E27FC236}">
              <a16:creationId xmlns:a16="http://schemas.microsoft.com/office/drawing/2014/main" id="{858FEB13-BAE1-99B1-D4EB-2313617CFA9C}"/>
            </a:ext>
          </a:extLst>
        </xdr:cNvPr>
        <xdr:cNvSpPr txBox="1"/>
      </xdr:nvSpPr>
      <xdr:spPr>
        <a:xfrm>
          <a:off x="0" y="2101852"/>
          <a:ext cx="151765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100" b="1">
              <a:ln w="3175" cmpd="dbl">
                <a:solidFill>
                  <a:schemeClr val="accent2">
                    <a:lumMod val="75000"/>
                    <a:alpha val="0"/>
                  </a:schemeClr>
                </a:solidFill>
              </a:ln>
              <a:solidFill>
                <a:schemeClr val="bg1"/>
              </a:solidFill>
              <a:latin typeface="+mn-lt"/>
              <a:ea typeface="+mn-ea"/>
              <a:cs typeface="+mn-cs"/>
            </a:rPr>
            <a:t>Overall Profit Margin</a:t>
          </a:r>
        </a:p>
      </xdr:txBody>
    </xdr:sp>
    <xdr:clientData/>
  </xdr:twoCellAnchor>
  <xdr:twoCellAnchor>
    <xdr:from>
      <xdr:col>0</xdr:col>
      <xdr:colOff>0</xdr:colOff>
      <xdr:row>14</xdr:row>
      <xdr:rowOff>171450</xdr:rowOff>
    </xdr:from>
    <xdr:to>
      <xdr:col>1</xdr:col>
      <xdr:colOff>635000</xdr:colOff>
      <xdr:row>17</xdr:row>
      <xdr:rowOff>139700</xdr:rowOff>
    </xdr:to>
    <xdr:sp macro="" textlink="Pivot!F8">
      <xdr:nvSpPr>
        <xdr:cNvPr id="13" name="TextBox 12">
          <a:extLst>
            <a:ext uri="{FF2B5EF4-FFF2-40B4-BE49-F238E27FC236}">
              <a16:creationId xmlns:a16="http://schemas.microsoft.com/office/drawing/2014/main" id="{94C0FA8B-2400-B816-7547-648A376B717D}"/>
            </a:ext>
          </a:extLst>
        </xdr:cNvPr>
        <xdr:cNvSpPr txBox="1"/>
      </xdr:nvSpPr>
      <xdr:spPr>
        <a:xfrm>
          <a:off x="0" y="2749550"/>
          <a:ext cx="965200" cy="5207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41692E4-67A7-4615-A15C-CF824591DB07}" type="TxLink">
            <a:rPr lang="en-US" sz="1600" b="1" i="0" u="none" strike="noStrike" cap="none" spc="0">
              <a:ln w="3175" cap="flat">
                <a:solidFill>
                  <a:schemeClr val="accent2">
                    <a:alpha val="99000"/>
                  </a:schemeClr>
                </a:solidFill>
                <a:prstDash val="solid"/>
              </a:ln>
              <a:solidFill>
                <a:srgbClr val="FFFFFF"/>
              </a:solidFill>
              <a:effectLst>
                <a:glow>
                  <a:schemeClr val="accent1"/>
                </a:glow>
                <a:outerShdw dist="38100" dir="2700000" algn="tl" rotWithShape="0">
                  <a:schemeClr val="accent2"/>
                </a:outerShdw>
              </a:effectLst>
              <a:latin typeface="Aptos"/>
              <a:ea typeface="+mn-ea"/>
              <a:cs typeface="+mn-cs"/>
            </a:rPr>
            <a:pPr marL="0" indent="0" algn="l"/>
            <a:t>₹ 863</a:t>
          </a:fld>
          <a:endParaRPr lang="en-IN" sz="1600" b="1" i="0" u="none" strike="noStrike" cap="none" spc="0">
            <a:ln w="3175" cap="flat">
              <a:solidFill>
                <a:schemeClr val="accent2">
                  <a:alpha val="99000"/>
                </a:schemeClr>
              </a:solidFill>
              <a:prstDash val="solid"/>
            </a:ln>
            <a:solidFill>
              <a:srgbClr val="FFFFFF"/>
            </a:solidFill>
            <a:effectLst>
              <a:glow>
                <a:schemeClr val="accent1"/>
              </a:glow>
              <a:outerShdw dist="38100" dir="2700000" algn="tl" rotWithShape="0">
                <a:schemeClr val="accent2"/>
              </a:outerShdw>
            </a:effectLst>
            <a:latin typeface="Aptos"/>
            <a:ea typeface="+mn-ea"/>
            <a:cs typeface="+mn-cs"/>
          </a:endParaRPr>
        </a:p>
      </xdr:txBody>
    </xdr:sp>
    <xdr:clientData/>
  </xdr:twoCellAnchor>
  <xdr:twoCellAnchor>
    <xdr:from>
      <xdr:col>0</xdr:col>
      <xdr:colOff>0</xdr:colOff>
      <xdr:row>14</xdr:row>
      <xdr:rowOff>86786</xdr:rowOff>
    </xdr:from>
    <xdr:to>
      <xdr:col>2</xdr:col>
      <xdr:colOff>241300</xdr:colOff>
      <xdr:row>15</xdr:row>
      <xdr:rowOff>57150</xdr:rowOff>
    </xdr:to>
    <xdr:sp macro="" textlink="">
      <xdr:nvSpPr>
        <xdr:cNvPr id="14" name="TextBox 13">
          <a:extLst>
            <a:ext uri="{FF2B5EF4-FFF2-40B4-BE49-F238E27FC236}">
              <a16:creationId xmlns:a16="http://schemas.microsoft.com/office/drawing/2014/main" id="{0C75ECC0-B9B4-1E3F-846B-F679BFD527C7}"/>
            </a:ext>
          </a:extLst>
        </xdr:cNvPr>
        <xdr:cNvSpPr txBox="1"/>
      </xdr:nvSpPr>
      <xdr:spPr>
        <a:xfrm>
          <a:off x="0" y="2664886"/>
          <a:ext cx="1524000" cy="154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100" b="1">
              <a:ln w="3175" cmpd="dbl">
                <a:solidFill>
                  <a:schemeClr val="accent2">
                    <a:lumMod val="75000"/>
                    <a:alpha val="0"/>
                  </a:schemeClr>
                </a:solidFill>
              </a:ln>
              <a:solidFill>
                <a:schemeClr val="bg1"/>
              </a:solidFill>
              <a:latin typeface="+mn-lt"/>
              <a:ea typeface="+mn-ea"/>
              <a:cs typeface="+mn-cs"/>
            </a:rPr>
            <a:t>Average Order Value</a:t>
          </a:r>
        </a:p>
      </xdr:txBody>
    </xdr:sp>
    <xdr:clientData/>
  </xdr:twoCellAnchor>
  <xdr:twoCellAnchor>
    <xdr:from>
      <xdr:col>3</xdr:col>
      <xdr:colOff>146050</xdr:colOff>
      <xdr:row>6</xdr:row>
      <xdr:rowOff>146050</xdr:rowOff>
    </xdr:from>
    <xdr:to>
      <xdr:col>8</xdr:col>
      <xdr:colOff>412750</xdr:colOff>
      <xdr:row>16</xdr:row>
      <xdr:rowOff>88900</xdr:rowOff>
    </xdr:to>
    <xdr:graphicFrame macro="">
      <xdr:nvGraphicFramePr>
        <xdr:cNvPr id="15" name="Chart 14">
          <a:extLst>
            <a:ext uri="{FF2B5EF4-FFF2-40B4-BE49-F238E27FC236}">
              <a16:creationId xmlns:a16="http://schemas.microsoft.com/office/drawing/2014/main" id="{BC4B0045-FC97-4129-9E84-7FEA43929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533400</xdr:colOff>
      <xdr:row>14</xdr:row>
      <xdr:rowOff>158750</xdr:rowOff>
    </xdr:from>
    <xdr:to>
      <xdr:col>13</xdr:col>
      <xdr:colOff>6350</xdr:colOff>
      <xdr:row>24</xdr:row>
      <xdr:rowOff>114300</xdr:rowOff>
    </xdr:to>
    <xdr:graphicFrame macro="">
      <xdr:nvGraphicFramePr>
        <xdr:cNvPr id="16" name="Chart 15">
          <a:extLst>
            <a:ext uri="{FF2B5EF4-FFF2-40B4-BE49-F238E27FC236}">
              <a16:creationId xmlns:a16="http://schemas.microsoft.com/office/drawing/2014/main" id="{9B73D128-F596-4032-AD06-3385F7CCA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120650</xdr:colOff>
      <xdr:row>6</xdr:row>
      <xdr:rowOff>139700</xdr:rowOff>
    </xdr:from>
    <xdr:to>
      <xdr:col>18</xdr:col>
      <xdr:colOff>419100</xdr:colOff>
      <xdr:row>32</xdr:row>
      <xdr:rowOff>0</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AF4AFC81-525C-40B8-BADB-19C304E30F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331200" y="1244600"/>
              <a:ext cx="3568700" cy="4648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139700</xdr:colOff>
      <xdr:row>17</xdr:row>
      <xdr:rowOff>19050</xdr:rowOff>
    </xdr:from>
    <xdr:to>
      <xdr:col>8</xdr:col>
      <xdr:colOff>419100</xdr:colOff>
      <xdr:row>32</xdr:row>
      <xdr:rowOff>0</xdr:rowOff>
    </xdr:to>
    <xdr:graphicFrame macro="">
      <xdr:nvGraphicFramePr>
        <xdr:cNvPr id="22" name="Chart 21">
          <a:extLst>
            <a:ext uri="{FF2B5EF4-FFF2-40B4-BE49-F238E27FC236}">
              <a16:creationId xmlns:a16="http://schemas.microsoft.com/office/drawing/2014/main" id="{75C44A3E-2016-4557-B900-0BBBB4158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222250</xdr:colOff>
      <xdr:row>25</xdr:row>
      <xdr:rowOff>107950</xdr:rowOff>
    </xdr:from>
    <xdr:to>
      <xdr:col>8</xdr:col>
      <xdr:colOff>349250</xdr:colOff>
      <xdr:row>31</xdr:row>
      <xdr:rowOff>127000</xdr:rowOff>
    </xdr:to>
    <xdr:graphicFrame macro="">
      <xdr:nvGraphicFramePr>
        <xdr:cNvPr id="23" name="Chart 22">
          <a:extLst>
            <a:ext uri="{FF2B5EF4-FFF2-40B4-BE49-F238E27FC236}">
              <a16:creationId xmlns:a16="http://schemas.microsoft.com/office/drawing/2014/main" id="{528159C0-5997-481C-AD19-1F3CB5A0B5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520700</xdr:colOff>
      <xdr:row>6</xdr:row>
      <xdr:rowOff>139700</xdr:rowOff>
    </xdr:from>
    <xdr:to>
      <xdr:col>13</xdr:col>
      <xdr:colOff>0</xdr:colOff>
      <xdr:row>14</xdr:row>
      <xdr:rowOff>69850</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585B7274-A8EB-4496-8020-4C468C8AAB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429250" y="1244600"/>
              <a:ext cx="2781300" cy="14033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533400</xdr:colOff>
      <xdr:row>25</xdr:row>
      <xdr:rowOff>44450</xdr:rowOff>
    </xdr:from>
    <xdr:to>
      <xdr:col>13</xdr:col>
      <xdr:colOff>6350</xdr:colOff>
      <xdr:row>32</xdr:row>
      <xdr:rowOff>6350</xdr:rowOff>
    </xdr:to>
    <xdr:graphicFrame macro="">
      <xdr:nvGraphicFramePr>
        <xdr:cNvPr id="26" name="Chart 25">
          <a:extLst>
            <a:ext uri="{FF2B5EF4-FFF2-40B4-BE49-F238E27FC236}">
              <a16:creationId xmlns:a16="http://schemas.microsoft.com/office/drawing/2014/main" id="{5F2332A6-207C-4945-B193-4435ED68AC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190500</xdr:colOff>
      <xdr:row>0</xdr:row>
      <xdr:rowOff>95250</xdr:rowOff>
    </xdr:from>
    <xdr:to>
      <xdr:col>12</xdr:col>
      <xdr:colOff>63500</xdr:colOff>
      <xdr:row>2</xdr:row>
      <xdr:rowOff>107950</xdr:rowOff>
    </xdr:to>
    <xdr:sp macro="" textlink="">
      <xdr:nvSpPr>
        <xdr:cNvPr id="27" name="TextBox 26">
          <a:extLst>
            <a:ext uri="{FF2B5EF4-FFF2-40B4-BE49-F238E27FC236}">
              <a16:creationId xmlns:a16="http://schemas.microsoft.com/office/drawing/2014/main" id="{D849BF5D-D366-B035-045A-F7C6BB28B488}"/>
            </a:ext>
          </a:extLst>
        </xdr:cNvPr>
        <xdr:cNvSpPr txBox="1"/>
      </xdr:nvSpPr>
      <xdr:spPr>
        <a:xfrm>
          <a:off x="1797050" y="95250"/>
          <a:ext cx="5816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rgbClr val="C00000"/>
              </a:solidFill>
              <a:effectLst/>
              <a:latin typeface="+mn-lt"/>
              <a:ea typeface="+mn-ea"/>
              <a:cs typeface="+mn-cs"/>
            </a:rPr>
            <a:t>Sales Report - Indian</a:t>
          </a:r>
          <a:r>
            <a:rPr lang="en-IN" sz="1400" b="1" baseline="0">
              <a:solidFill>
                <a:srgbClr val="C00000"/>
              </a:solidFill>
              <a:effectLst/>
              <a:latin typeface="+mn-lt"/>
              <a:ea typeface="+mn-ea"/>
              <a:cs typeface="+mn-cs"/>
            </a:rPr>
            <a:t> E-commerce Platforms, April 2018 - March 2019</a:t>
          </a:r>
          <a:endParaRPr lang="en-IN" sz="1400">
            <a:solidFill>
              <a:srgbClr val="C00000"/>
            </a:solidFill>
            <a:effectLst/>
          </a:endParaRPr>
        </a:p>
        <a:p>
          <a:endParaRPr lang="en-IN" sz="1400">
            <a:solidFill>
              <a:srgbClr val="C00000"/>
            </a:solidFill>
          </a:endParaRPr>
        </a:p>
      </xdr:txBody>
    </xdr:sp>
    <xdr:clientData/>
  </xdr:twoCellAnchor>
  <xdr:twoCellAnchor editAs="oneCell">
    <xdr:from>
      <xdr:col>0</xdr:col>
      <xdr:colOff>57150</xdr:colOff>
      <xdr:row>19</xdr:row>
      <xdr:rowOff>0</xdr:rowOff>
    </xdr:from>
    <xdr:to>
      <xdr:col>2</xdr:col>
      <xdr:colOff>279400</xdr:colOff>
      <xdr:row>25</xdr:row>
      <xdr:rowOff>120650</xdr:rowOff>
    </xdr:to>
    <mc:AlternateContent xmlns:mc="http://schemas.openxmlformats.org/markup-compatibility/2006" xmlns:a14="http://schemas.microsoft.com/office/drawing/2010/main">
      <mc:Choice Requires="a14">
        <xdr:graphicFrame macro="">
          <xdr:nvGraphicFramePr>
            <xdr:cNvPr id="18" name="Category">
              <a:extLst>
                <a:ext uri="{FF2B5EF4-FFF2-40B4-BE49-F238E27FC236}">
                  <a16:creationId xmlns:a16="http://schemas.microsoft.com/office/drawing/2014/main" id="{406C1B5F-2533-481B-DC86-1593B96B596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7150" y="3502742"/>
              <a:ext cx="1502492" cy="1226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654050</xdr:colOff>
      <xdr:row>3</xdr:row>
      <xdr:rowOff>165100</xdr:rowOff>
    </xdr:from>
    <xdr:to>
      <xdr:col>3</xdr:col>
      <xdr:colOff>158750</xdr:colOff>
      <xdr:row>5</xdr:row>
      <xdr:rowOff>38100</xdr:rowOff>
    </xdr:to>
    <xdr:sp macro="" textlink="Pivot!E12">
      <xdr:nvSpPr>
        <xdr:cNvPr id="19" name="TextBox 18">
          <a:extLst>
            <a:ext uri="{FF2B5EF4-FFF2-40B4-BE49-F238E27FC236}">
              <a16:creationId xmlns:a16="http://schemas.microsoft.com/office/drawing/2014/main" id="{089DEB53-0979-9627-7289-A521A7F63988}"/>
            </a:ext>
          </a:extLst>
        </xdr:cNvPr>
        <xdr:cNvSpPr txBox="1"/>
      </xdr:nvSpPr>
      <xdr:spPr>
        <a:xfrm>
          <a:off x="984250" y="717550"/>
          <a:ext cx="781050" cy="2413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AAFC0A0-8AFE-49CE-992D-309C76835872}" type="TxLink">
            <a:rPr lang="en-US" sz="1000" b="1" i="0" u="none" strike="noStrike" cap="none" spc="0">
              <a:ln w="3175" cap="flat">
                <a:solidFill>
                  <a:schemeClr val="accent2">
                    <a:alpha val="13000"/>
                  </a:schemeClr>
                </a:solidFill>
                <a:prstDash val="solid"/>
              </a:ln>
              <a:solidFill>
                <a:srgbClr val="FFFFFF"/>
              </a:solidFill>
              <a:effectLst>
                <a:glow>
                  <a:schemeClr val="accent1"/>
                </a:glow>
                <a:outerShdw dist="38100" dir="2700000" algn="tl" rotWithShape="0">
                  <a:schemeClr val="accent2"/>
                </a:outerShdw>
              </a:effectLst>
              <a:latin typeface="Aptos"/>
              <a:ea typeface="+mn-ea"/>
              <a:cs typeface="+mn-cs"/>
            </a:rPr>
            <a:pPr marL="0" indent="0" algn="l"/>
            <a:t>₹ 431.5k</a:t>
          </a:fld>
          <a:endParaRPr lang="en-IN" sz="1000" b="1" i="0" u="none" strike="noStrike" cap="none" spc="0">
            <a:ln w="3175" cap="flat">
              <a:solidFill>
                <a:schemeClr val="accent2">
                  <a:alpha val="13000"/>
                </a:schemeClr>
              </a:solidFill>
              <a:prstDash val="solid"/>
            </a:ln>
            <a:solidFill>
              <a:srgbClr val="FFFFFF"/>
            </a:solidFill>
            <a:effectLst>
              <a:glow>
                <a:schemeClr val="accent1"/>
              </a:glow>
              <a:outerShdw dist="38100" dir="2700000" algn="tl" rotWithShape="0">
                <a:schemeClr val="accent2"/>
              </a:outerShdw>
            </a:effectLst>
            <a:latin typeface="Aptos"/>
            <a:ea typeface="+mn-ea"/>
            <a:cs typeface="+mn-cs"/>
          </a:endParaRPr>
        </a:p>
      </xdr:txBody>
    </xdr:sp>
    <xdr:clientData/>
  </xdr:twoCellAnchor>
  <xdr:twoCellAnchor>
    <xdr:from>
      <xdr:col>1</xdr:col>
      <xdr:colOff>654050</xdr:colOff>
      <xdr:row>6</xdr:row>
      <xdr:rowOff>155575</xdr:rowOff>
    </xdr:from>
    <xdr:to>
      <xdr:col>3</xdr:col>
      <xdr:colOff>158750</xdr:colOff>
      <xdr:row>8</xdr:row>
      <xdr:rowOff>28575</xdr:rowOff>
    </xdr:to>
    <xdr:sp macro="" textlink="Pivot!F12">
      <xdr:nvSpPr>
        <xdr:cNvPr id="20" name="TextBox 19">
          <a:extLst>
            <a:ext uri="{FF2B5EF4-FFF2-40B4-BE49-F238E27FC236}">
              <a16:creationId xmlns:a16="http://schemas.microsoft.com/office/drawing/2014/main" id="{DF82477A-D3C4-36CF-9B20-3D3AD22CCA0D}"/>
            </a:ext>
          </a:extLst>
        </xdr:cNvPr>
        <xdr:cNvSpPr txBox="1"/>
      </xdr:nvSpPr>
      <xdr:spPr>
        <a:xfrm>
          <a:off x="984250" y="1260475"/>
          <a:ext cx="781050" cy="2413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3D40B28-3412-4836-A4EC-97E363DC9D57}" type="TxLink">
            <a:rPr lang="en-US" sz="1000" b="1" i="0" u="none" strike="noStrike" cap="none" spc="0">
              <a:ln w="3175" cap="flat">
                <a:solidFill>
                  <a:schemeClr val="accent2">
                    <a:alpha val="13000"/>
                  </a:schemeClr>
                </a:solidFill>
                <a:prstDash val="solid"/>
              </a:ln>
              <a:solidFill>
                <a:srgbClr val="FFFFFF"/>
              </a:solidFill>
              <a:effectLst>
                <a:glow>
                  <a:schemeClr val="accent1"/>
                </a:glow>
                <a:outerShdw dist="38100" dir="2700000" algn="tl" rotWithShape="0">
                  <a:schemeClr val="accent2"/>
                </a:outerShdw>
              </a:effectLst>
              <a:latin typeface="Aptos"/>
              <a:ea typeface="+mn-ea"/>
              <a:cs typeface="+mn-cs"/>
            </a:rPr>
            <a:pPr marL="0" indent="0" algn="l"/>
            <a:t>₹ 23,955</a:t>
          </a:fld>
          <a:endParaRPr lang="en-IN" sz="1000" b="1" i="0" u="none" strike="noStrike" cap="none" spc="0">
            <a:ln w="3175" cap="flat">
              <a:solidFill>
                <a:schemeClr val="accent2">
                  <a:alpha val="13000"/>
                </a:schemeClr>
              </a:solidFill>
              <a:prstDash val="solid"/>
            </a:ln>
            <a:solidFill>
              <a:srgbClr val="FFFFFF"/>
            </a:solidFill>
            <a:effectLst>
              <a:glow>
                <a:schemeClr val="accent1"/>
              </a:glow>
              <a:outerShdw dist="38100" dir="2700000" algn="tl" rotWithShape="0">
                <a:schemeClr val="accent2"/>
              </a:outerShdw>
            </a:effectLst>
            <a:latin typeface="Aptos"/>
            <a:ea typeface="+mn-ea"/>
            <a:cs typeface="+mn-cs"/>
          </a:endParaRPr>
        </a:p>
      </xdr:txBody>
    </xdr:sp>
    <xdr:clientData/>
  </xdr:twoCellAnchor>
  <xdr:twoCellAnchor>
    <xdr:from>
      <xdr:col>1</xdr:col>
      <xdr:colOff>654050</xdr:colOff>
      <xdr:row>9</xdr:row>
      <xdr:rowOff>146050</xdr:rowOff>
    </xdr:from>
    <xdr:to>
      <xdr:col>3</xdr:col>
      <xdr:colOff>158750</xdr:colOff>
      <xdr:row>11</xdr:row>
      <xdr:rowOff>19050</xdr:rowOff>
    </xdr:to>
    <xdr:sp macro="" textlink="Pivot!G12">
      <xdr:nvSpPr>
        <xdr:cNvPr id="21" name="TextBox 20">
          <a:extLst>
            <a:ext uri="{FF2B5EF4-FFF2-40B4-BE49-F238E27FC236}">
              <a16:creationId xmlns:a16="http://schemas.microsoft.com/office/drawing/2014/main" id="{45392422-A9A4-3720-38E5-CE6D7578CE63}"/>
            </a:ext>
          </a:extLst>
        </xdr:cNvPr>
        <xdr:cNvSpPr txBox="1"/>
      </xdr:nvSpPr>
      <xdr:spPr>
        <a:xfrm>
          <a:off x="984250" y="1803400"/>
          <a:ext cx="781050" cy="2413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C224C68-DE0D-4896-9BAB-F03734C29169}" type="TxLink">
            <a:rPr lang="en-US" sz="1000" b="1" i="0" u="none" strike="noStrike" cap="none" spc="0">
              <a:ln w="3175" cap="flat">
                <a:solidFill>
                  <a:schemeClr val="accent2">
                    <a:alpha val="13000"/>
                  </a:schemeClr>
                </a:solidFill>
                <a:prstDash val="solid"/>
              </a:ln>
              <a:solidFill>
                <a:srgbClr val="FFFFFF"/>
              </a:solidFill>
              <a:effectLst>
                <a:glow>
                  <a:schemeClr val="accent1"/>
                </a:glow>
                <a:outerShdw dist="38100" dir="2700000" algn="tl" rotWithShape="0">
                  <a:schemeClr val="accent2"/>
                </a:outerShdw>
              </a:effectLst>
              <a:latin typeface="Aptos"/>
              <a:ea typeface="+mn-ea"/>
              <a:cs typeface="+mn-cs"/>
            </a:rPr>
            <a:pPr marL="0" indent="0" algn="l"/>
            <a:t>5,615</a:t>
          </a:fld>
          <a:endParaRPr lang="en-IN" sz="1000" b="1" i="0" u="none" strike="noStrike" cap="none" spc="0">
            <a:ln w="3175" cap="flat">
              <a:solidFill>
                <a:schemeClr val="accent2">
                  <a:alpha val="13000"/>
                </a:schemeClr>
              </a:solidFill>
              <a:prstDash val="solid"/>
            </a:ln>
            <a:solidFill>
              <a:srgbClr val="FFFFFF"/>
            </a:solidFill>
            <a:effectLst>
              <a:glow>
                <a:schemeClr val="accent1"/>
              </a:glow>
              <a:outerShdw dist="38100" dir="2700000" algn="tl" rotWithShape="0">
                <a:schemeClr val="accent2"/>
              </a:outerShdw>
            </a:effectLst>
            <a:latin typeface="Aptos"/>
            <a:ea typeface="+mn-ea"/>
            <a:cs typeface="+mn-cs"/>
          </a:endParaRPr>
        </a:p>
      </xdr:txBody>
    </xdr:sp>
    <xdr:clientData/>
  </xdr:twoCellAnchor>
  <xdr:twoCellAnchor>
    <xdr:from>
      <xdr:col>1</xdr:col>
      <xdr:colOff>654050</xdr:colOff>
      <xdr:row>12</xdr:row>
      <xdr:rowOff>136525</xdr:rowOff>
    </xdr:from>
    <xdr:to>
      <xdr:col>3</xdr:col>
      <xdr:colOff>158750</xdr:colOff>
      <xdr:row>14</xdr:row>
      <xdr:rowOff>9525</xdr:rowOff>
    </xdr:to>
    <xdr:sp macro="" textlink="Pivot!H12">
      <xdr:nvSpPr>
        <xdr:cNvPr id="24" name="TextBox 23">
          <a:extLst>
            <a:ext uri="{FF2B5EF4-FFF2-40B4-BE49-F238E27FC236}">
              <a16:creationId xmlns:a16="http://schemas.microsoft.com/office/drawing/2014/main" id="{55003AE5-B6BC-5E71-DBD1-74B3D4AFF7FA}"/>
            </a:ext>
          </a:extLst>
        </xdr:cNvPr>
        <xdr:cNvSpPr txBox="1"/>
      </xdr:nvSpPr>
      <xdr:spPr>
        <a:xfrm>
          <a:off x="984250" y="2346325"/>
          <a:ext cx="781050" cy="2413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458A4E8-CC3C-4F1E-A41B-913BE6A4E534}" type="TxLink">
            <a:rPr lang="en-US" sz="1000" b="1" i="0" u="none" strike="noStrike" cap="none" spc="0">
              <a:ln w="3175" cap="flat">
                <a:solidFill>
                  <a:schemeClr val="accent2">
                    <a:alpha val="13000"/>
                  </a:schemeClr>
                </a:solidFill>
                <a:prstDash val="solid"/>
              </a:ln>
              <a:solidFill>
                <a:srgbClr val="FFFFFF"/>
              </a:solidFill>
              <a:effectLst>
                <a:glow>
                  <a:schemeClr val="accent1"/>
                </a:glow>
                <a:outerShdw dist="38100" dir="2700000" algn="tl" rotWithShape="0">
                  <a:schemeClr val="accent2"/>
                </a:outerShdw>
              </a:effectLst>
              <a:latin typeface="Aptos"/>
              <a:ea typeface="+mn-ea"/>
              <a:cs typeface="+mn-cs"/>
            </a:rPr>
            <a:pPr marL="0" indent="0" algn="l"/>
            <a:t>5.6%</a:t>
          </a:fld>
          <a:endParaRPr lang="en-IN" sz="1000" b="1" i="0" u="none" strike="noStrike" cap="none" spc="0">
            <a:ln w="3175" cap="flat">
              <a:solidFill>
                <a:schemeClr val="accent2">
                  <a:alpha val="13000"/>
                </a:schemeClr>
              </a:solidFill>
              <a:prstDash val="solid"/>
            </a:ln>
            <a:solidFill>
              <a:srgbClr val="FFFFFF"/>
            </a:solidFill>
            <a:effectLst>
              <a:glow>
                <a:schemeClr val="accent1"/>
              </a:glow>
              <a:outerShdw dist="38100" dir="2700000" algn="tl" rotWithShape="0">
                <a:schemeClr val="accent2"/>
              </a:outerShdw>
            </a:effectLst>
            <a:latin typeface="Aptos"/>
            <a:ea typeface="+mn-ea"/>
            <a:cs typeface="+mn-cs"/>
          </a:endParaRPr>
        </a:p>
      </xdr:txBody>
    </xdr:sp>
    <xdr:clientData/>
  </xdr:twoCellAnchor>
  <xdr:twoCellAnchor>
    <xdr:from>
      <xdr:col>1</xdr:col>
      <xdr:colOff>654050</xdr:colOff>
      <xdr:row>15</xdr:row>
      <xdr:rowOff>127000</xdr:rowOff>
    </xdr:from>
    <xdr:to>
      <xdr:col>3</xdr:col>
      <xdr:colOff>158750</xdr:colOff>
      <xdr:row>17</xdr:row>
      <xdr:rowOff>0</xdr:rowOff>
    </xdr:to>
    <xdr:sp macro="" textlink="Pivot!J12">
      <xdr:nvSpPr>
        <xdr:cNvPr id="28" name="TextBox 27">
          <a:extLst>
            <a:ext uri="{FF2B5EF4-FFF2-40B4-BE49-F238E27FC236}">
              <a16:creationId xmlns:a16="http://schemas.microsoft.com/office/drawing/2014/main" id="{D8A75F80-1BA0-4693-B4D4-BCB77ADBCBC6}"/>
            </a:ext>
          </a:extLst>
        </xdr:cNvPr>
        <xdr:cNvSpPr txBox="1"/>
      </xdr:nvSpPr>
      <xdr:spPr>
        <a:xfrm>
          <a:off x="984250" y="2889250"/>
          <a:ext cx="781050" cy="2413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8A9EA3C-AE5F-45D6-BBC9-A9CE9C71F673}" type="TxLink">
            <a:rPr lang="en-US" sz="1000" b="1" i="0" u="none" strike="noStrike" cap="none" spc="0">
              <a:ln w="3175" cap="flat">
                <a:solidFill>
                  <a:schemeClr val="accent2">
                    <a:alpha val="13000"/>
                  </a:schemeClr>
                </a:solidFill>
                <a:prstDash val="solid"/>
              </a:ln>
              <a:solidFill>
                <a:srgbClr val="FFFFFF"/>
              </a:solidFill>
              <a:effectLst>
                <a:glow>
                  <a:schemeClr val="accent1"/>
                </a:glow>
                <a:outerShdw dist="38100" dir="2700000" algn="tl" rotWithShape="0">
                  <a:schemeClr val="accent2"/>
                </a:outerShdw>
              </a:effectLst>
              <a:latin typeface="Aptos"/>
              <a:ea typeface="+mn-ea"/>
              <a:cs typeface="+mn-cs"/>
            </a:rPr>
            <a:pPr marL="0" indent="0" algn="l"/>
            <a:t>₹ 863.0</a:t>
          </a:fld>
          <a:endParaRPr lang="en-IN" sz="1000" b="1" i="0" u="none" strike="noStrike" cap="none" spc="0">
            <a:ln w="3175" cap="flat">
              <a:solidFill>
                <a:schemeClr val="accent2">
                  <a:alpha val="13000"/>
                </a:schemeClr>
              </a:solidFill>
              <a:prstDash val="solid"/>
            </a:ln>
            <a:solidFill>
              <a:srgbClr val="FFFFFF"/>
            </a:solidFill>
            <a:effectLst>
              <a:glow>
                <a:schemeClr val="accent1"/>
              </a:glow>
              <a:outerShdw dist="38100" dir="2700000" algn="tl" rotWithShape="0">
                <a:schemeClr val="accent2"/>
              </a:outerShdw>
            </a:effectLst>
            <a:latin typeface="Aptos"/>
            <a:ea typeface="+mn-ea"/>
            <a:cs typeface="+mn-cs"/>
          </a:endParaRPr>
        </a:p>
      </xdr:txBody>
    </xdr:sp>
    <xdr:clientData/>
  </xdr:twoCellAnchor>
  <xdr:twoCellAnchor>
    <xdr:from>
      <xdr:col>16</xdr:col>
      <xdr:colOff>228600</xdr:colOff>
      <xdr:row>4</xdr:row>
      <xdr:rowOff>120650</xdr:rowOff>
    </xdr:from>
    <xdr:to>
      <xdr:col>18</xdr:col>
      <xdr:colOff>381000</xdr:colOff>
      <xdr:row>6</xdr:row>
      <xdr:rowOff>73024</xdr:rowOff>
    </xdr:to>
    <xdr:sp macro="" textlink="Pivot!E128">
      <xdr:nvSpPr>
        <xdr:cNvPr id="6" name="TextBox 5">
          <a:extLst>
            <a:ext uri="{FF2B5EF4-FFF2-40B4-BE49-F238E27FC236}">
              <a16:creationId xmlns:a16="http://schemas.microsoft.com/office/drawing/2014/main" id="{827BF53F-72A4-DBF2-ED0B-B6AE996A74F7}"/>
            </a:ext>
          </a:extLst>
        </xdr:cNvPr>
        <xdr:cNvSpPr txBox="1"/>
      </xdr:nvSpPr>
      <xdr:spPr>
        <a:xfrm>
          <a:off x="10420350" y="857250"/>
          <a:ext cx="1473200" cy="320674"/>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E616AAC-6C1F-4245-8FFF-7A355428F1CD}" type="TxLink">
            <a:rPr lang="en-US" sz="1600" b="1" i="0" u="none" strike="noStrike" cap="none" spc="0">
              <a:ln w="3175" cap="flat">
                <a:solidFill>
                  <a:schemeClr val="accent2">
                    <a:alpha val="99000"/>
                  </a:schemeClr>
                </a:solidFill>
                <a:prstDash val="solid"/>
              </a:ln>
              <a:solidFill>
                <a:srgbClr val="FFFFFF"/>
              </a:solidFill>
              <a:effectLst>
                <a:glow>
                  <a:schemeClr val="accent1"/>
                </a:glow>
                <a:outerShdw dist="38100" dir="2700000" algn="tl" rotWithShape="0">
                  <a:schemeClr val="accent2"/>
                </a:outerShdw>
              </a:effectLst>
              <a:latin typeface="Aptos"/>
              <a:ea typeface="+mn-ea"/>
              <a:cs typeface="+mn-cs"/>
            </a:rPr>
            <a:pPr marL="0" indent="0" algn="ctr"/>
            <a:t>-₹ 2,216</a:t>
          </a:fld>
          <a:endParaRPr lang="en-IN" sz="1600" b="1" i="0" u="none" strike="noStrike" cap="none" spc="0">
            <a:ln w="3175" cap="flat">
              <a:solidFill>
                <a:schemeClr val="accent2">
                  <a:alpha val="99000"/>
                </a:schemeClr>
              </a:solidFill>
              <a:prstDash val="solid"/>
            </a:ln>
            <a:solidFill>
              <a:srgbClr val="FFFFFF"/>
            </a:solidFill>
            <a:effectLst>
              <a:glow>
                <a:schemeClr val="accent1"/>
              </a:glow>
              <a:outerShdw dist="38100" dir="2700000" algn="tl" rotWithShape="0">
                <a:schemeClr val="accent2"/>
              </a:outerShdw>
            </a:effectLst>
            <a:latin typeface="Aptos"/>
            <a:ea typeface="+mn-ea"/>
            <a:cs typeface="+mn-cs"/>
          </a:endParaRPr>
        </a:p>
      </xdr:txBody>
    </xdr:sp>
    <xdr:clientData/>
  </xdr:twoCellAnchor>
  <xdr:twoCellAnchor>
    <xdr:from>
      <xdr:col>16</xdr:col>
      <xdr:colOff>107950</xdr:colOff>
      <xdr:row>2</xdr:row>
      <xdr:rowOff>88900</xdr:rowOff>
    </xdr:from>
    <xdr:to>
      <xdr:col>19</xdr:col>
      <xdr:colOff>107950</xdr:colOff>
      <xdr:row>5</xdr:row>
      <xdr:rowOff>19050</xdr:rowOff>
    </xdr:to>
    <xdr:sp macro="" textlink="">
      <xdr:nvSpPr>
        <xdr:cNvPr id="29" name="TextBox 28">
          <a:extLst>
            <a:ext uri="{FF2B5EF4-FFF2-40B4-BE49-F238E27FC236}">
              <a16:creationId xmlns:a16="http://schemas.microsoft.com/office/drawing/2014/main" id="{915CF379-9AD3-4F1F-11E0-B40C4BEC2281}"/>
            </a:ext>
          </a:extLst>
        </xdr:cNvPr>
        <xdr:cNvSpPr txBox="1"/>
      </xdr:nvSpPr>
      <xdr:spPr>
        <a:xfrm>
          <a:off x="10299700" y="457200"/>
          <a:ext cx="1708150"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ln w="3175" cmpd="dbl">
                <a:solidFill>
                  <a:schemeClr val="accent2">
                    <a:lumMod val="75000"/>
                    <a:alpha val="0"/>
                  </a:schemeClr>
                </a:solidFill>
              </a:ln>
              <a:solidFill>
                <a:schemeClr val="accent2"/>
              </a:solidFill>
              <a:latin typeface="+mn-lt"/>
              <a:ea typeface="+mn-ea"/>
              <a:cs typeface="+mn-cs"/>
            </a:rPr>
            <a:t>State with Highest Loss</a:t>
          </a:r>
        </a:p>
        <a:p>
          <a:pPr marL="0" indent="0" algn="ctr"/>
          <a:r>
            <a:rPr lang="en-IN" sz="1050" b="1">
              <a:ln w="3175" cmpd="dbl">
                <a:solidFill>
                  <a:schemeClr val="accent2">
                    <a:lumMod val="75000"/>
                    <a:alpha val="0"/>
                  </a:schemeClr>
                </a:solidFill>
              </a:ln>
              <a:solidFill>
                <a:schemeClr val="accent2">
                  <a:lumMod val="50000"/>
                </a:schemeClr>
              </a:solidFill>
              <a:latin typeface="+mn-lt"/>
              <a:ea typeface="+mn-ea"/>
              <a:cs typeface="+mn-cs"/>
            </a:rPr>
            <a:t>Tamil Nadu</a:t>
          </a:r>
        </a:p>
      </xdr:txBody>
    </xdr:sp>
    <xdr:clientData/>
  </xdr:twoCellAnchor>
  <xdr:twoCellAnchor>
    <xdr:from>
      <xdr:col>13</xdr:col>
      <xdr:colOff>203200</xdr:colOff>
      <xdr:row>4</xdr:row>
      <xdr:rowOff>69850</xdr:rowOff>
    </xdr:from>
    <xdr:to>
      <xdr:col>15</xdr:col>
      <xdr:colOff>355600</xdr:colOff>
      <xdr:row>6</xdr:row>
      <xdr:rowOff>114300</xdr:rowOff>
    </xdr:to>
    <xdr:sp macro="" textlink="Pivot!E146">
      <xdr:nvSpPr>
        <xdr:cNvPr id="30" name="TextBox 29">
          <a:extLst>
            <a:ext uri="{FF2B5EF4-FFF2-40B4-BE49-F238E27FC236}">
              <a16:creationId xmlns:a16="http://schemas.microsoft.com/office/drawing/2014/main" id="{2714490C-D966-F9F5-7C5E-21F97D01FF94}"/>
            </a:ext>
          </a:extLst>
        </xdr:cNvPr>
        <xdr:cNvSpPr txBox="1"/>
      </xdr:nvSpPr>
      <xdr:spPr>
        <a:xfrm>
          <a:off x="8413750" y="806450"/>
          <a:ext cx="1473200" cy="41275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10DA7CD-9660-4227-977B-E008CEE43AA8}" type="TxLink">
            <a:rPr lang="en-US" sz="1600" b="1" i="0" u="none" strike="noStrike" cap="none" spc="0">
              <a:ln w="3175" cap="flat">
                <a:solidFill>
                  <a:schemeClr val="accent2">
                    <a:alpha val="99000"/>
                  </a:schemeClr>
                </a:solidFill>
                <a:prstDash val="solid"/>
              </a:ln>
              <a:solidFill>
                <a:srgbClr val="FFFFFF"/>
              </a:solidFill>
              <a:effectLst>
                <a:glow>
                  <a:schemeClr val="accent1"/>
                </a:glow>
                <a:outerShdw dist="38100" dir="2700000" algn="tl" rotWithShape="0">
                  <a:schemeClr val="accent2"/>
                </a:outerShdw>
              </a:effectLst>
              <a:latin typeface="Aptos"/>
              <a:ea typeface="+mn-ea"/>
              <a:cs typeface="+mn-cs"/>
            </a:rPr>
            <a:pPr marL="0" indent="0" algn="ctr"/>
            <a:t>₹ 6,176</a:t>
          </a:fld>
          <a:endParaRPr lang="en-IN" sz="1600" b="1" i="0" u="none" strike="noStrike" cap="none" spc="0">
            <a:ln w="3175" cap="flat">
              <a:solidFill>
                <a:schemeClr val="accent2">
                  <a:alpha val="99000"/>
                </a:schemeClr>
              </a:solidFill>
              <a:prstDash val="solid"/>
            </a:ln>
            <a:solidFill>
              <a:srgbClr val="FFFFFF"/>
            </a:solidFill>
            <a:effectLst>
              <a:glow>
                <a:schemeClr val="accent1"/>
              </a:glow>
              <a:outerShdw dist="38100" dir="2700000" algn="tl" rotWithShape="0">
                <a:schemeClr val="accent2"/>
              </a:outerShdw>
            </a:effectLst>
            <a:latin typeface="Aptos"/>
            <a:ea typeface="+mn-ea"/>
            <a:cs typeface="+mn-cs"/>
          </a:endParaRPr>
        </a:p>
      </xdr:txBody>
    </xdr:sp>
    <xdr:clientData/>
  </xdr:twoCellAnchor>
  <xdr:twoCellAnchor>
    <xdr:from>
      <xdr:col>13</xdr:col>
      <xdr:colOff>82550</xdr:colOff>
      <xdr:row>2</xdr:row>
      <xdr:rowOff>82550</xdr:rowOff>
    </xdr:from>
    <xdr:to>
      <xdr:col>15</xdr:col>
      <xdr:colOff>469900</xdr:colOff>
      <xdr:row>5</xdr:row>
      <xdr:rowOff>12700</xdr:rowOff>
    </xdr:to>
    <xdr:sp macro="" textlink="">
      <xdr:nvSpPr>
        <xdr:cNvPr id="31" name="TextBox 30">
          <a:extLst>
            <a:ext uri="{FF2B5EF4-FFF2-40B4-BE49-F238E27FC236}">
              <a16:creationId xmlns:a16="http://schemas.microsoft.com/office/drawing/2014/main" id="{0D6A0F52-7542-331F-1258-F56A7873A3ED}"/>
            </a:ext>
          </a:extLst>
        </xdr:cNvPr>
        <xdr:cNvSpPr txBox="1"/>
      </xdr:nvSpPr>
      <xdr:spPr>
        <a:xfrm>
          <a:off x="8293100" y="450850"/>
          <a:ext cx="1708150"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ln w="3175" cmpd="dbl">
                <a:solidFill>
                  <a:schemeClr val="accent2">
                    <a:lumMod val="75000"/>
                    <a:alpha val="0"/>
                  </a:schemeClr>
                </a:solidFill>
              </a:ln>
              <a:solidFill>
                <a:schemeClr val="accent2"/>
              </a:solidFill>
              <a:latin typeface="+mn-lt"/>
              <a:ea typeface="+mn-ea"/>
              <a:cs typeface="+mn-cs"/>
            </a:rPr>
            <a:t>State with Highest Profit</a:t>
          </a:r>
        </a:p>
        <a:p>
          <a:pPr marL="0" indent="0" algn="ctr"/>
          <a:r>
            <a:rPr lang="en-IN" sz="1050" b="1">
              <a:ln w="3175" cmpd="dbl">
                <a:solidFill>
                  <a:schemeClr val="accent2">
                    <a:lumMod val="75000"/>
                    <a:alpha val="0"/>
                  </a:schemeClr>
                </a:solidFill>
              </a:ln>
              <a:solidFill>
                <a:schemeClr val="accent2">
                  <a:lumMod val="50000"/>
                </a:schemeClr>
              </a:solidFill>
              <a:latin typeface="+mn-lt"/>
              <a:ea typeface="+mn-ea"/>
              <a:cs typeface="+mn-cs"/>
            </a:rPr>
            <a:t>Maharashtra</a:t>
          </a:r>
        </a:p>
      </xdr:txBody>
    </xdr:sp>
    <xdr:clientData/>
  </xdr:twoCellAnchor>
  <xdr:twoCellAnchor>
    <xdr:from>
      <xdr:col>9</xdr:col>
      <xdr:colOff>533400</xdr:colOff>
      <xdr:row>4</xdr:row>
      <xdr:rowOff>57150</xdr:rowOff>
    </xdr:from>
    <xdr:to>
      <xdr:col>12</xdr:col>
      <xdr:colOff>25400</xdr:colOff>
      <xdr:row>6</xdr:row>
      <xdr:rowOff>101600</xdr:rowOff>
    </xdr:to>
    <xdr:sp macro="" textlink="Pivot!H128">
      <xdr:nvSpPr>
        <xdr:cNvPr id="33" name="TextBox 32">
          <a:extLst>
            <a:ext uri="{FF2B5EF4-FFF2-40B4-BE49-F238E27FC236}">
              <a16:creationId xmlns:a16="http://schemas.microsoft.com/office/drawing/2014/main" id="{E6F3AC16-E193-A774-170D-7799BE2274D4}"/>
            </a:ext>
          </a:extLst>
        </xdr:cNvPr>
        <xdr:cNvSpPr txBox="1"/>
      </xdr:nvSpPr>
      <xdr:spPr>
        <a:xfrm>
          <a:off x="6102350" y="793750"/>
          <a:ext cx="1473200" cy="41275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47950A-2B48-456C-810B-26E46F2EB189}" type="TxLink">
            <a:rPr lang="en-US" sz="1600" b="1" i="0" u="none" strike="noStrike" cap="none" spc="0">
              <a:ln w="3175" cap="flat">
                <a:solidFill>
                  <a:schemeClr val="accent2">
                    <a:alpha val="99000"/>
                  </a:schemeClr>
                </a:solidFill>
                <a:prstDash val="solid"/>
              </a:ln>
              <a:solidFill>
                <a:srgbClr val="FFFFFF"/>
              </a:solidFill>
              <a:effectLst>
                <a:glow>
                  <a:schemeClr val="accent1"/>
                </a:glow>
                <a:outerShdw dist="38100" dir="2700000" algn="tl" rotWithShape="0">
                  <a:schemeClr val="accent2"/>
                </a:outerShdw>
              </a:effectLst>
              <a:latin typeface="Aptos"/>
              <a:ea typeface="+mn-ea"/>
              <a:cs typeface="+mn-cs"/>
            </a:rPr>
            <a:pPr marL="0" indent="0" algn="ctr"/>
            <a:t>19.7%</a:t>
          </a:fld>
          <a:endParaRPr lang="en-IN" sz="1600" b="1" i="0" u="none" strike="noStrike" cap="none" spc="0">
            <a:ln w="3175" cap="flat">
              <a:solidFill>
                <a:schemeClr val="accent2">
                  <a:alpha val="99000"/>
                </a:schemeClr>
              </a:solidFill>
              <a:prstDash val="solid"/>
            </a:ln>
            <a:solidFill>
              <a:srgbClr val="FFFFFF"/>
            </a:solidFill>
            <a:effectLst>
              <a:glow>
                <a:schemeClr val="accent1"/>
              </a:glow>
              <a:outerShdw dist="38100" dir="2700000" algn="tl" rotWithShape="0">
                <a:schemeClr val="accent2"/>
              </a:outerShdw>
            </a:effectLst>
            <a:latin typeface="Aptos"/>
            <a:ea typeface="+mn-ea"/>
            <a:cs typeface="+mn-cs"/>
          </a:endParaRPr>
        </a:p>
      </xdr:txBody>
    </xdr:sp>
    <xdr:clientData/>
  </xdr:twoCellAnchor>
  <xdr:twoCellAnchor>
    <xdr:from>
      <xdr:col>9</xdr:col>
      <xdr:colOff>203200</xdr:colOff>
      <xdr:row>2</xdr:row>
      <xdr:rowOff>69850</xdr:rowOff>
    </xdr:from>
    <xdr:to>
      <xdr:col>12</xdr:col>
      <xdr:colOff>342900</xdr:colOff>
      <xdr:row>5</xdr:row>
      <xdr:rowOff>0</xdr:rowOff>
    </xdr:to>
    <xdr:sp macro="" textlink="">
      <xdr:nvSpPr>
        <xdr:cNvPr id="34" name="TextBox 33">
          <a:extLst>
            <a:ext uri="{FF2B5EF4-FFF2-40B4-BE49-F238E27FC236}">
              <a16:creationId xmlns:a16="http://schemas.microsoft.com/office/drawing/2014/main" id="{D59D4590-52F1-E0A7-BD05-4CB3AB93A496}"/>
            </a:ext>
          </a:extLst>
        </xdr:cNvPr>
        <xdr:cNvSpPr txBox="1"/>
      </xdr:nvSpPr>
      <xdr:spPr>
        <a:xfrm>
          <a:off x="5772150" y="438150"/>
          <a:ext cx="2120900"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ln w="3175" cmpd="dbl">
                <a:solidFill>
                  <a:schemeClr val="accent2">
                    <a:lumMod val="75000"/>
                    <a:alpha val="0"/>
                  </a:schemeClr>
                </a:solidFill>
              </a:ln>
              <a:solidFill>
                <a:schemeClr val="accent2"/>
              </a:solidFill>
              <a:latin typeface="+mn-lt"/>
              <a:ea typeface="+mn-ea"/>
              <a:cs typeface="+mn-cs"/>
            </a:rPr>
            <a:t>City with Highest Profit Margin</a:t>
          </a:r>
        </a:p>
        <a:p>
          <a:pPr marL="0" indent="0" algn="ctr"/>
          <a:r>
            <a:rPr lang="en-IN" sz="1050" b="1">
              <a:ln w="3175" cmpd="dbl">
                <a:solidFill>
                  <a:schemeClr val="accent2">
                    <a:lumMod val="75000"/>
                    <a:alpha val="0"/>
                  </a:schemeClr>
                </a:solidFill>
              </a:ln>
              <a:solidFill>
                <a:schemeClr val="accent2">
                  <a:lumMod val="50000"/>
                </a:schemeClr>
              </a:solidFill>
              <a:latin typeface="+mn-lt"/>
              <a:ea typeface="+mn-ea"/>
              <a:cs typeface="+mn-cs"/>
            </a:rPr>
            <a:t>Surat</a:t>
          </a:r>
        </a:p>
      </xdr:txBody>
    </xdr:sp>
    <xdr:clientData/>
  </xdr:twoCellAnchor>
  <xdr:twoCellAnchor>
    <xdr:from>
      <xdr:col>4</xdr:col>
      <xdr:colOff>546100</xdr:colOff>
      <xdr:row>4</xdr:row>
      <xdr:rowOff>82550</xdr:rowOff>
    </xdr:from>
    <xdr:to>
      <xdr:col>7</xdr:col>
      <xdr:colOff>38100</xdr:colOff>
      <xdr:row>6</xdr:row>
      <xdr:rowOff>127000</xdr:rowOff>
    </xdr:to>
    <xdr:sp macro="" textlink="Pivot!H33">
      <xdr:nvSpPr>
        <xdr:cNvPr id="35" name="TextBox 34">
          <a:extLst>
            <a:ext uri="{FF2B5EF4-FFF2-40B4-BE49-F238E27FC236}">
              <a16:creationId xmlns:a16="http://schemas.microsoft.com/office/drawing/2014/main" id="{805D588D-8F58-FD75-22F8-713A03AB834A}"/>
            </a:ext>
          </a:extLst>
        </xdr:cNvPr>
        <xdr:cNvSpPr txBox="1"/>
      </xdr:nvSpPr>
      <xdr:spPr>
        <a:xfrm>
          <a:off x="2813050" y="819150"/>
          <a:ext cx="1473200" cy="41275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C3E98D6-4790-4395-BCD4-A2AEBE220FA9}" type="TxLink">
            <a:rPr lang="en-US" sz="1600" b="1" i="0" u="none" strike="noStrike" cap="none" spc="0">
              <a:ln w="3175" cap="flat">
                <a:solidFill>
                  <a:schemeClr val="accent2">
                    <a:alpha val="99000"/>
                  </a:schemeClr>
                </a:solidFill>
                <a:prstDash val="solid"/>
              </a:ln>
              <a:solidFill>
                <a:srgbClr val="FFFFFF"/>
              </a:solidFill>
              <a:effectLst>
                <a:glow>
                  <a:schemeClr val="accent1"/>
                </a:glow>
                <a:outerShdw dist="38100" dir="2700000" algn="tl" rotWithShape="0">
                  <a:schemeClr val="accent2"/>
                </a:outerShdw>
              </a:effectLst>
              <a:latin typeface="Aptos"/>
              <a:ea typeface="+mn-ea"/>
              <a:cs typeface="+mn-cs"/>
            </a:rPr>
            <a:pPr marL="0" indent="0" algn="ctr"/>
            <a:t>8.0%</a:t>
          </a:fld>
          <a:endParaRPr lang="en-IN" sz="1600" b="1" i="0" u="none" strike="noStrike" cap="none" spc="0">
            <a:ln w="3175" cap="flat">
              <a:solidFill>
                <a:schemeClr val="accent2">
                  <a:alpha val="99000"/>
                </a:schemeClr>
              </a:solidFill>
              <a:prstDash val="solid"/>
            </a:ln>
            <a:solidFill>
              <a:srgbClr val="FFFFFF"/>
            </a:solidFill>
            <a:effectLst>
              <a:glow>
                <a:schemeClr val="accent1"/>
              </a:glow>
              <a:outerShdw dist="38100" dir="2700000" algn="tl" rotWithShape="0">
                <a:schemeClr val="accent2"/>
              </a:outerShdw>
            </a:effectLst>
            <a:latin typeface="Aptos"/>
            <a:ea typeface="+mn-ea"/>
            <a:cs typeface="+mn-cs"/>
          </a:endParaRPr>
        </a:p>
      </xdr:txBody>
    </xdr:sp>
    <xdr:clientData/>
  </xdr:twoCellAnchor>
  <xdr:twoCellAnchor>
    <xdr:from>
      <xdr:col>4</xdr:col>
      <xdr:colOff>22225</xdr:colOff>
      <xdr:row>2</xdr:row>
      <xdr:rowOff>101600</xdr:rowOff>
    </xdr:from>
    <xdr:to>
      <xdr:col>7</xdr:col>
      <xdr:colOff>549275</xdr:colOff>
      <xdr:row>6</xdr:row>
      <xdr:rowOff>79374</xdr:rowOff>
    </xdr:to>
    <xdr:sp macro="" textlink="">
      <xdr:nvSpPr>
        <xdr:cNvPr id="39" name="TextBox 38">
          <a:extLst>
            <a:ext uri="{FF2B5EF4-FFF2-40B4-BE49-F238E27FC236}">
              <a16:creationId xmlns:a16="http://schemas.microsoft.com/office/drawing/2014/main" id="{B82A39F0-9FB3-695E-198E-7FFF631C3061}"/>
            </a:ext>
          </a:extLst>
        </xdr:cNvPr>
        <xdr:cNvSpPr txBox="1"/>
      </xdr:nvSpPr>
      <xdr:spPr>
        <a:xfrm>
          <a:off x="2289175" y="469900"/>
          <a:ext cx="2508250" cy="714374"/>
        </a:xfrm>
        <a:prstGeom prst="rect">
          <a:avLst/>
        </a:prstGeom>
        <a:noFill/>
        <a:ln w="12700" cmpd="sng">
          <a:solidFill>
            <a:schemeClr val="accent2">
              <a:alpha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xdr:col>
      <xdr:colOff>635000</xdr:colOff>
      <xdr:row>2</xdr:row>
      <xdr:rowOff>95250</xdr:rowOff>
    </xdr:from>
    <xdr:to>
      <xdr:col>7</xdr:col>
      <xdr:colOff>501650</xdr:colOff>
      <xdr:row>5</xdr:row>
      <xdr:rowOff>25400</xdr:rowOff>
    </xdr:to>
    <xdr:sp macro="" textlink="">
      <xdr:nvSpPr>
        <xdr:cNvPr id="36" name="TextBox 35">
          <a:extLst>
            <a:ext uri="{FF2B5EF4-FFF2-40B4-BE49-F238E27FC236}">
              <a16:creationId xmlns:a16="http://schemas.microsoft.com/office/drawing/2014/main" id="{B6148ADD-8FDC-1E17-E1E6-AD2B7227A71C}"/>
            </a:ext>
          </a:extLst>
        </xdr:cNvPr>
        <xdr:cNvSpPr txBox="1"/>
      </xdr:nvSpPr>
      <xdr:spPr>
        <a:xfrm>
          <a:off x="2241550" y="463550"/>
          <a:ext cx="2508250"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ln w="3175" cmpd="dbl">
                <a:solidFill>
                  <a:schemeClr val="accent2">
                    <a:lumMod val="75000"/>
                    <a:alpha val="0"/>
                  </a:schemeClr>
                </a:solidFill>
              </a:ln>
              <a:solidFill>
                <a:schemeClr val="accent2"/>
              </a:solidFill>
              <a:latin typeface="+mn-lt"/>
              <a:ea typeface="+mn-ea"/>
              <a:cs typeface="+mn-cs"/>
            </a:rPr>
            <a:t>Most Profitable Category by Margin</a:t>
          </a:r>
        </a:p>
        <a:p>
          <a:pPr marL="0" indent="0" algn="ctr"/>
          <a:r>
            <a:rPr lang="en-IN" sz="1050" b="1">
              <a:ln w="3175" cmpd="dbl">
                <a:solidFill>
                  <a:schemeClr val="accent2">
                    <a:lumMod val="75000"/>
                    <a:alpha val="0"/>
                  </a:schemeClr>
                </a:solidFill>
              </a:ln>
              <a:solidFill>
                <a:schemeClr val="accent2">
                  <a:lumMod val="50000"/>
                </a:schemeClr>
              </a:solidFill>
              <a:latin typeface="+mn-lt"/>
              <a:ea typeface="+mn-ea"/>
              <a:cs typeface="+mn-cs"/>
            </a:rPr>
            <a:t>Clothing</a:t>
          </a:r>
        </a:p>
      </xdr:txBody>
    </xdr:sp>
    <xdr:clientData/>
  </xdr:twoCellAnchor>
  <xdr:twoCellAnchor>
    <xdr:from>
      <xdr:col>9</xdr:col>
      <xdr:colOff>285750</xdr:colOff>
      <xdr:row>2</xdr:row>
      <xdr:rowOff>101600</xdr:rowOff>
    </xdr:from>
    <xdr:to>
      <xdr:col>12</xdr:col>
      <xdr:colOff>273050</xdr:colOff>
      <xdr:row>6</xdr:row>
      <xdr:rowOff>79374</xdr:rowOff>
    </xdr:to>
    <xdr:sp macro="" textlink="">
      <xdr:nvSpPr>
        <xdr:cNvPr id="40" name="TextBox 39">
          <a:extLst>
            <a:ext uri="{FF2B5EF4-FFF2-40B4-BE49-F238E27FC236}">
              <a16:creationId xmlns:a16="http://schemas.microsoft.com/office/drawing/2014/main" id="{DEF6D3CF-3265-48CD-BC18-07913BBE859D}"/>
            </a:ext>
          </a:extLst>
        </xdr:cNvPr>
        <xdr:cNvSpPr txBox="1"/>
      </xdr:nvSpPr>
      <xdr:spPr>
        <a:xfrm>
          <a:off x="5854700" y="469900"/>
          <a:ext cx="1968500" cy="714374"/>
        </a:xfrm>
        <a:prstGeom prst="rect">
          <a:avLst/>
        </a:prstGeom>
        <a:noFill/>
        <a:ln w="12700" cmpd="sng">
          <a:solidFill>
            <a:schemeClr val="accent2">
              <a:alpha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13</xdr:col>
      <xdr:colOff>133350</xdr:colOff>
      <xdr:row>2</xdr:row>
      <xdr:rowOff>95250</xdr:rowOff>
    </xdr:from>
    <xdr:to>
      <xdr:col>15</xdr:col>
      <xdr:colOff>412750</xdr:colOff>
      <xdr:row>6</xdr:row>
      <xdr:rowOff>73024</xdr:rowOff>
    </xdr:to>
    <xdr:sp macro="" textlink="">
      <xdr:nvSpPr>
        <xdr:cNvPr id="41" name="TextBox 40">
          <a:extLst>
            <a:ext uri="{FF2B5EF4-FFF2-40B4-BE49-F238E27FC236}">
              <a16:creationId xmlns:a16="http://schemas.microsoft.com/office/drawing/2014/main" id="{55705C1A-2B51-4DD9-8F14-F5D8954B2A40}"/>
            </a:ext>
          </a:extLst>
        </xdr:cNvPr>
        <xdr:cNvSpPr txBox="1"/>
      </xdr:nvSpPr>
      <xdr:spPr>
        <a:xfrm>
          <a:off x="8343900" y="463550"/>
          <a:ext cx="1600200" cy="714374"/>
        </a:xfrm>
        <a:prstGeom prst="rect">
          <a:avLst/>
        </a:prstGeom>
        <a:noFill/>
        <a:ln w="12700" cmpd="sng">
          <a:solidFill>
            <a:schemeClr val="accent2">
              <a:alpha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16</xdr:col>
      <xdr:colOff>209550</xdr:colOff>
      <xdr:row>2</xdr:row>
      <xdr:rowOff>101600</xdr:rowOff>
    </xdr:from>
    <xdr:to>
      <xdr:col>18</xdr:col>
      <xdr:colOff>374650</xdr:colOff>
      <xdr:row>6</xdr:row>
      <xdr:rowOff>79374</xdr:rowOff>
    </xdr:to>
    <xdr:sp macro="" textlink="">
      <xdr:nvSpPr>
        <xdr:cNvPr id="42" name="TextBox 41">
          <a:extLst>
            <a:ext uri="{FF2B5EF4-FFF2-40B4-BE49-F238E27FC236}">
              <a16:creationId xmlns:a16="http://schemas.microsoft.com/office/drawing/2014/main" id="{3ECD5A22-1471-4432-98C5-661EF45988AA}"/>
            </a:ext>
          </a:extLst>
        </xdr:cNvPr>
        <xdr:cNvSpPr txBox="1"/>
      </xdr:nvSpPr>
      <xdr:spPr>
        <a:xfrm>
          <a:off x="10401300" y="469900"/>
          <a:ext cx="1485900" cy="714374"/>
        </a:xfrm>
        <a:prstGeom prst="rect">
          <a:avLst/>
        </a:prstGeom>
        <a:noFill/>
        <a:ln w="12700" cmpd="sng">
          <a:solidFill>
            <a:schemeClr val="accent2">
              <a:alpha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wsDr>
</file>

<file path=xl/drawings/drawing3.xml><?xml version="1.0" encoding="utf-8"?>
<c:userShapes xmlns:c="http://schemas.openxmlformats.org/drawingml/2006/chart">
  <cdr:relSizeAnchor xmlns:cdr="http://schemas.openxmlformats.org/drawingml/2006/chartDrawing">
    <cdr:from>
      <cdr:x>0.18421</cdr:x>
      <cdr:y>0.09322</cdr:y>
    </cdr:from>
    <cdr:to>
      <cdr:x>0.81579</cdr:x>
      <cdr:y>0.90678</cdr:y>
    </cdr:to>
    <cdr:sp macro="" textlink="">
      <cdr:nvSpPr>
        <cdr:cNvPr id="2" name="TextBox 1">
          <a:extLst xmlns:a="http://schemas.openxmlformats.org/drawingml/2006/main">
            <a:ext uri="{FF2B5EF4-FFF2-40B4-BE49-F238E27FC236}">
              <a16:creationId xmlns:a16="http://schemas.microsoft.com/office/drawing/2014/main" id="{C2A589D0-C9B7-CEE3-DBA6-DA4CFFB4C6B1}"/>
            </a:ext>
          </a:extLst>
        </cdr:cNvPr>
        <cdr:cNvSpPr txBox="1"/>
      </cdr:nvSpPr>
      <cdr:spPr>
        <a:xfrm xmlns:a="http://schemas.openxmlformats.org/drawingml/2006/main">
          <a:off x="266700" y="104775"/>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0.57906</cdr:x>
      <cdr:y>0</cdr:y>
    </cdr:from>
    <cdr:to>
      <cdr:x>1</cdr:x>
      <cdr:y>0.38983</cdr:y>
    </cdr:to>
    <cdr:sp macro="" textlink="">
      <cdr:nvSpPr>
        <cdr:cNvPr id="3" name="TextBox 2">
          <a:extLst xmlns:a="http://schemas.openxmlformats.org/drawingml/2006/main">
            <a:ext uri="{FF2B5EF4-FFF2-40B4-BE49-F238E27FC236}">
              <a16:creationId xmlns:a16="http://schemas.microsoft.com/office/drawing/2014/main" id="{4EFA1919-C58A-5100-F00F-771C778F2564}"/>
            </a:ext>
          </a:extLst>
        </cdr:cNvPr>
        <cdr:cNvSpPr txBox="1"/>
      </cdr:nvSpPr>
      <cdr:spPr>
        <a:xfrm xmlns:a="http://schemas.openxmlformats.org/drawingml/2006/main">
          <a:off x="832670" y="0"/>
          <a:ext cx="605298" cy="438629"/>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700" b="1">
              <a:solidFill>
                <a:schemeClr val="accent2">
                  <a:lumMod val="75000"/>
                </a:schemeClr>
              </a:solidFill>
            </a:rPr>
            <a:t>Category Sales Mix</a:t>
          </a: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NKPAD" refreshedDate="46129.763017592595" backgroundQuery="1" createdVersion="8" refreshedVersion="8" minRefreshableVersion="3" recordCount="0" supportSubquery="1" supportAdvancedDrill="1" xr:uid="{3E6DE17B-A306-4B46-9A37-62A09C71240C}">
  <cacheSource type="external" connectionId="5"/>
  <cacheFields count="3">
    <cacheField name="[List_of_order].[State].[State]" caption="State" numFmtId="0" hierarchy="3" level="1">
      <sharedItems count="10">
        <s v="Bihar"/>
        <s v="Delhi"/>
        <s v="Gujarat"/>
        <s v="Karnataka"/>
        <s v="Madhya Pradesh"/>
        <s v="Maharashtra"/>
        <s v="Punjab"/>
        <s v="Rajasthan"/>
        <s v="Uttar Pradesh"/>
        <s v="West Bengal"/>
      </sharedItems>
    </cacheField>
    <cacheField name="[Order_Details].[Category].[Category]" caption="Category" numFmtId="0" hierarchy="11" level="1">
      <sharedItems count="3">
        <s v="Clothing"/>
        <s v="Electronics"/>
        <s v="Furniture"/>
      </sharedItems>
    </cacheField>
    <cacheField name="[Measures].[Loss Orders]" caption="Loss Orders" numFmtId="0" hierarchy="24" level="32767"/>
  </cacheFields>
  <cacheHierarchies count="36">
    <cacheHierarchy uniqueName="[List_of_order].[Order ID]" caption="Order ID" attribute="1" defaultMemberUniqueName="[List_of_order].[Order ID].[All]" allUniqueName="[List_of_order].[Order ID].[All]" dimensionUniqueName="[List_of_order]" displayFolder="" count="0" memberValueDatatype="130" unbalanced="0"/>
    <cacheHierarchy uniqueName="[List_of_order].[Order Date]" caption="Order Date" attribute="1" time="1" defaultMemberUniqueName="[List_of_order].[Order Date].[All]" allUniqueName="[List_of_order].[Order Date].[All]" dimensionUniqueName="[List_of_order]" displayFolder="" count="0" memberValueDatatype="7" unbalanced="0"/>
    <cacheHierarchy uniqueName="[List_of_order].[CustomerName]" caption="CustomerName" attribute="1" defaultMemberUniqueName="[List_of_order].[CustomerName].[All]" allUniqueName="[List_of_order].[CustomerName].[All]" dimensionUniqueName="[List_of_order]" displayFolder="" count="0" memberValueDatatype="130" unbalanced="0"/>
    <cacheHierarchy uniqueName="[List_of_order].[State]" caption="State" attribute="1" defaultMemberUniqueName="[List_of_order].[State].[All]" allUniqueName="[List_of_order].[State].[All]" dimensionUniqueName="[List_of_order]" displayFolder="" count="2" memberValueDatatype="130" unbalanced="0">
      <fieldsUsage count="2">
        <fieldUsage x="-1"/>
        <fieldUsage x="0"/>
      </fieldsUsage>
    </cacheHierarchy>
    <cacheHierarchy uniqueName="[List_of_order].[City]" caption="City" attribute="1" defaultMemberUniqueName="[List_of_order].[City].[All]" allUniqueName="[List_of_order].[City].[All]" dimensionUniqueName="[List_of_order]" displayFolder="" count="0" memberValueDatatype="130" unbalanced="0"/>
    <cacheHierarchy uniqueName="[List_of_order].[Month Name]" caption="Month Name" attribute="1" defaultMemberUniqueName="[List_of_order].[Month Name].[All]" allUniqueName="[List_of_order].[Month Name].[All]" dimensionUniqueName="[List_of_order]" displayFolder="" count="0" memberValueDatatype="130" unbalanced="0"/>
    <cacheHierarchy uniqueName="[List_of_order].[Order Status]" caption="Order Status" attribute="1" defaultMemberUniqueName="[List_of_order].[Order Status].[All]" allUniqueName="[List_of_order].[Order Status].[All]" dimensionUniqueName="[List_of_order]" displayFolder="" count="0" memberValueDatatype="130" unbalanced="0"/>
    <cacheHierarchy uniqueName="[Order_Details].[Order ID]" caption="Order ID" attribute="1" defaultMemberUniqueName="[Order_Details].[Order ID].[All]" allUniqueName="[Order_Details].[Order ID].[All]" dimensionUniqueName="[Order_Details]" displayFolder="" count="0" memberValueDatatype="130" unbalanced="0"/>
    <cacheHierarchy uniqueName="[Order_Details].[Amount]" caption="Amount" attribute="1" defaultMemberUniqueName="[Order_Details].[Amount].[All]" allUniqueName="[Order_Details].[Amount].[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Category]" caption="Category" attribute="1" defaultMemberUniqueName="[Order_Details].[Category].[All]" allUniqueName="[Order_Details].[Category].[All]" dimensionUniqueName="[Order_Details]" displayFolder="" count="2" memberValueDatatype="130" unbalanced="0">
      <fieldsUsage count="2">
        <fieldUsage x="-1"/>
        <fieldUsage x="1"/>
      </fieldsUsage>
    </cacheHierarchy>
    <cacheHierarchy uniqueName="[Order_Details].[Sub-Category]" caption="Sub-Category" attribute="1" defaultMemberUniqueName="[Order_Details].[Sub-Category].[All]" allUniqueName="[Order_Details].[Sub-Category].[All]" dimensionUniqueName="[Order_Details]" displayFolder="" count="0" memberValueDatatype="130" unbalanced="0"/>
    <cacheHierarchy uniqueName="[List_of_order].[Order Date (Month Index)]" caption="Order Date (Month Index)" attribute="1" defaultMemberUniqueName="[List_of_order].[Order Date (Month Index)].[All]" allUniqueName="[List_of_order].[Order Date (Month Index)].[All]" dimensionUniqueName="[List_of_order]" displayFolder="" count="0" memberValueDatatype="20" unbalanced="0" hidden="1"/>
    <cacheHierarchy uniqueName="[List_of_order].[Order Date (Month)]" caption="Order Date (Month)" attribute="1" defaultMemberUniqueName="[List_of_order].[Order Date (Month)].[All]" allUniqueName="[List_of_order].[Order Date (Month)].[All]" dimensionUniqueName="[List_of_order]" displayFolder="" count="0" memberValueDatatype="130" unbalanced="0" hidden="1"/>
    <cacheHierarchy uniqueName="[List_of_order].[Order Date (Quarter)]" caption="Order Date (Quarter)" attribute="1" defaultMemberUniqueName="[List_of_order].[Order Date (Quarter)].[All]" allUniqueName="[List_of_order].[Order Date (Quarter)].[All]" dimensionUniqueName="[List_of_order]" displayFolder="" count="0" memberValueDatatype="130" unbalanced="0" hidden="1"/>
    <cacheHierarchy uniqueName="[List_of_order].[Order Date (Year)]" caption="Order Date (Year)" attribute="1" defaultMemberUniqueName="[List_of_order].[Order Date (Year)].[All]" allUniqueName="[List_of_order].[Order Date (Year)].[All]" dimensionUniqueName="[List_of_order]" displayFolder="" count="0" memberValueDatatype="130" unbalanced="0" hidden="1"/>
    <cacheHierarchy uniqueName="[Measures].[Total Sales]" caption="Total Sales" measure="1" displayFolder="" measureGroup="Order_Details" count="0"/>
    <cacheHierarchy uniqueName="[Measures].[Total Profit]" caption="Total Profit" measure="1" displayFolder="" measureGroup="Order_Details" count="0"/>
    <cacheHierarchy uniqueName="[Measures].[Total Quantity]" caption="Total Quantity" measure="1" displayFolder="" measureGroup="Order_Details" count="0"/>
    <cacheHierarchy uniqueName="[Measures].[Profit Margin %]" caption="Profit Margin %" measure="1" displayFolder="" measureGroup="Order_Details" count="0"/>
    <cacheHierarchy uniqueName="[Measures].[Total Orders]" caption="Total Orders" measure="1" displayFolder="" measureGroup="Order_Details" count="0"/>
    <cacheHierarchy uniqueName="[Measures].[Average Order Value]" caption="Average Order Value" measure="1" displayFolder="" measureGroup="Order_Details" count="0"/>
    <cacheHierarchy uniqueName="[Measures].[Average Quantity Per Order]" caption="Average Quantity Per Order" measure="1" displayFolder="" measureGroup="Order_Details" count="0"/>
    <cacheHierarchy uniqueName="[Measures].[Loss Orders]" caption="Loss Orders" measure="1" displayFolder="" measureGroup="Order_Details" count="0" oneField="1">
      <fieldsUsage count="1">
        <fieldUsage x="2"/>
      </fieldsUsage>
    </cacheHierarchy>
    <cacheHierarchy uniqueName="[Measures].[Profit Orders]" caption="Profit Orders" measure="1" displayFolder="" measureGroup="Order_Details" count="0"/>
    <cacheHierarchy uniqueName="[Measures].[__XL_Count List_of_order]" caption="__XL_Count List_of_order" measure="1" displayFolder="" measureGroup="List_of_order"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ofit]" caption="Sum of Profit" measure="1" displayFolder="" measureGroup="Order_Details" count="0" hidden="1">
      <extLst>
        <ext xmlns:x15="http://schemas.microsoft.com/office/spreadsheetml/2010/11/main" uri="{B97F6D7D-B522-45F9-BDA1-12C45D357490}">
          <x15:cacheHierarchy aggregatedColumn="9"/>
        </ext>
      </extLst>
    </cacheHierarchy>
    <cacheHierarchy uniqueName="[Measures].[Count of Profit]" caption="Count of Profit" measure="1" displayFolder="" measureGroup="Order_Details"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Order_Detail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List_of_order"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Order_Details" count="0" hidden="1">
      <extLst>
        <ext xmlns:x15="http://schemas.microsoft.com/office/spreadsheetml/2010/11/main" uri="{B97F6D7D-B522-45F9-BDA1-12C45D357490}">
          <x15:cacheHierarchy aggregatedColumn="8"/>
        </ext>
      </extLst>
    </cacheHierarchy>
    <cacheHierarchy uniqueName="[Measures].[Count of Order Status]" caption="Count of Order Status" measure="1" displayFolder="" measureGroup="List_of_order"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10"/>
        </ext>
      </extLst>
    </cacheHierarchy>
  </cacheHierarchies>
  <kpis count="0"/>
  <dimensions count="3">
    <dimension name="List_of_order" uniqueName="[List_of_order]" caption="List_of_order"/>
    <dimension measure="1" name="Measures" uniqueName="[Measures]" caption="Measures"/>
    <dimension name="Order_Details" uniqueName="[Order_Details]" caption="Order_Details"/>
  </dimensions>
  <measureGroups count="2">
    <measureGroup name="List_of_order" caption="List_of_order"/>
    <measureGroup name="Order_Details" caption="Order_Detail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NKPAD" refreshedDate="46129.746951041663" backgroundQuery="1" createdVersion="8" refreshedVersion="8" minRefreshableVersion="3" recordCount="0" supportSubquery="1" supportAdvancedDrill="1" xr:uid="{A4013F2F-9AF2-46FC-BB3C-AFA4315DBD84}">
  <cacheSource type="external" connectionId="5"/>
  <cacheFields count="9">
    <cacheField name="[Measures].[Total Sales]" caption="Total Sales" numFmtId="0" hierarchy="17" level="32767"/>
    <cacheField name="[Measures].[Total Profit]" caption="Total Profit" numFmtId="0" hierarchy="18" level="32767"/>
    <cacheField name="[Measures].[Total Quantity]" caption="Total Quantity" numFmtId="0" hierarchy="19" level="32767"/>
    <cacheField name="[Measures].[Profit Margin %]" caption="Profit Margin %" numFmtId="0" hierarchy="20" level="32767"/>
    <cacheField name="[Measures].[Total Orders]" caption="Total Orders" numFmtId="0" hierarchy="21" level="32767"/>
    <cacheField name="[Measures].[Average Order Value]" caption="Average Order Value" numFmtId="0" hierarchy="22" level="32767"/>
    <cacheField name="[Measures].[Average Quantity Per Order]" caption="Average Quantity Per Order" numFmtId="0" hierarchy="23" level="32767"/>
    <cacheField name="[Measures].[Loss Orders]" caption="Loss Orders" numFmtId="0" hierarchy="24" level="32767"/>
    <cacheField name="[Measures].[Profit Orders]" caption="Profit Orders" numFmtId="0" hierarchy="25" level="32767"/>
  </cacheFields>
  <cacheHierarchies count="36">
    <cacheHierarchy uniqueName="[List_of_order].[Order ID]" caption="Order ID" attribute="1" defaultMemberUniqueName="[List_of_order].[Order ID].[All]" allUniqueName="[List_of_order].[Order ID].[All]" dimensionUniqueName="[List_of_order]" displayFolder="" count="0" memberValueDatatype="130" unbalanced="0"/>
    <cacheHierarchy uniqueName="[List_of_order].[Order Date]" caption="Order Date" attribute="1" time="1" defaultMemberUniqueName="[List_of_order].[Order Date].[All]" allUniqueName="[List_of_order].[Order Date].[All]" dimensionUniqueName="[List_of_order]" displayFolder="" count="0" memberValueDatatype="7" unbalanced="0"/>
    <cacheHierarchy uniqueName="[List_of_order].[CustomerName]" caption="CustomerName" attribute="1" defaultMemberUniqueName="[List_of_order].[CustomerName].[All]" allUniqueName="[List_of_order].[CustomerName].[All]" dimensionUniqueName="[List_of_order]" displayFolder="" count="0" memberValueDatatype="130" unbalanced="0"/>
    <cacheHierarchy uniqueName="[List_of_order].[State]" caption="State" attribute="1" defaultMemberUniqueName="[List_of_order].[State].[All]" allUniqueName="[List_of_order].[State].[All]" dimensionUniqueName="[List_of_order]" displayFolder="" count="0" memberValueDatatype="130" unbalanced="0"/>
    <cacheHierarchy uniqueName="[List_of_order].[City]" caption="City" attribute="1" defaultMemberUniqueName="[List_of_order].[City].[All]" allUniqueName="[List_of_order].[City].[All]" dimensionUniqueName="[List_of_order]" displayFolder="" count="0" memberValueDatatype="130" unbalanced="0"/>
    <cacheHierarchy uniqueName="[List_of_order].[Month Name]" caption="Month Name" attribute="1" defaultMemberUniqueName="[List_of_order].[Month Name].[All]" allUniqueName="[List_of_order].[Month Name].[All]" dimensionUniqueName="[List_of_order]" displayFolder="" count="0" memberValueDatatype="130" unbalanced="0"/>
    <cacheHierarchy uniqueName="[List_of_order].[Order Status]" caption="Order Status" attribute="1" defaultMemberUniqueName="[List_of_order].[Order Status].[All]" allUniqueName="[List_of_order].[Order Status].[All]" dimensionUniqueName="[List_of_order]" displayFolder="" count="0" memberValueDatatype="130" unbalanced="0"/>
    <cacheHierarchy uniqueName="[Order_Details].[Order ID]" caption="Order ID" attribute="1" defaultMemberUniqueName="[Order_Details].[Order ID].[All]" allUniqueName="[Order_Details].[Order ID].[All]" dimensionUniqueName="[Order_Details]" displayFolder="" count="0" memberValueDatatype="130" unbalanced="0"/>
    <cacheHierarchy uniqueName="[Order_Details].[Amount]" caption="Amount" attribute="1" defaultMemberUniqueName="[Order_Details].[Amount].[All]" allUniqueName="[Order_Details].[Amount].[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Category]" caption="Category" attribute="1" defaultMemberUniqueName="[Order_Details].[Category].[All]" allUniqueName="[Order_Details].[Category].[All]" dimensionUniqueName="[Order_Details]" displayFolder="" count="0" memberValueDatatype="130" unbalanced="0"/>
    <cacheHierarchy uniqueName="[Order_Details].[Sub-Category]" caption="Sub-Category" attribute="1" defaultMemberUniqueName="[Order_Details].[Sub-Category].[All]" allUniqueName="[Order_Details].[Sub-Category].[All]" dimensionUniqueName="[Order_Details]" displayFolder="" count="0" memberValueDatatype="130" unbalanced="0"/>
    <cacheHierarchy uniqueName="[List_of_order].[Order Date (Month Index)]" caption="Order Date (Month Index)" attribute="1" defaultMemberUniqueName="[List_of_order].[Order Date (Month Index)].[All]" allUniqueName="[List_of_order].[Order Date (Month Index)].[All]" dimensionUniqueName="[List_of_order]" displayFolder="" count="0" memberValueDatatype="20" unbalanced="0" hidden="1"/>
    <cacheHierarchy uniqueName="[List_of_order].[Order Date (Month)]" caption="Order Date (Month)" attribute="1" defaultMemberUniqueName="[List_of_order].[Order Date (Month)].[All]" allUniqueName="[List_of_order].[Order Date (Month)].[All]" dimensionUniqueName="[List_of_order]" displayFolder="" count="0" memberValueDatatype="130" unbalanced="0" hidden="1"/>
    <cacheHierarchy uniqueName="[List_of_order].[Order Date (Quarter)]" caption="Order Date (Quarter)" attribute="1" defaultMemberUniqueName="[List_of_order].[Order Date (Quarter)].[All]" allUniqueName="[List_of_order].[Order Date (Quarter)].[All]" dimensionUniqueName="[List_of_order]" displayFolder="" count="0" memberValueDatatype="130" unbalanced="0" hidden="1"/>
    <cacheHierarchy uniqueName="[List_of_order].[Order Date (Year)]" caption="Order Date (Year)" attribute="1" defaultMemberUniqueName="[List_of_order].[Order Date (Year)].[All]" allUniqueName="[List_of_order].[Order Date (Year)].[All]" dimensionUniqueName="[List_of_order]" displayFolder="" count="0" memberValueDatatype="130" unbalanced="0" hidden="1"/>
    <cacheHierarchy uniqueName="[Measures].[Total Sales]" caption="Total Sales" measure="1" displayFolder="" measureGroup="Order_Details" count="0" oneField="1">
      <fieldsUsage count="1">
        <fieldUsage x="0"/>
      </fieldsUsage>
    </cacheHierarchy>
    <cacheHierarchy uniqueName="[Measures].[Total Profit]" caption="Total Profit" measure="1" displayFolder="" measureGroup="Order_Details" count="0" oneField="1">
      <fieldsUsage count="1">
        <fieldUsage x="1"/>
      </fieldsUsage>
    </cacheHierarchy>
    <cacheHierarchy uniqueName="[Measures].[Total Quantity]" caption="Total Quantity" measure="1" displayFolder="" measureGroup="Order_Details" count="0" oneField="1">
      <fieldsUsage count="1">
        <fieldUsage x="2"/>
      </fieldsUsage>
    </cacheHierarchy>
    <cacheHierarchy uniqueName="[Measures].[Profit Margin %]" caption="Profit Margin %" measure="1" displayFolder="" measureGroup="Order_Details" count="0" oneField="1">
      <fieldsUsage count="1">
        <fieldUsage x="3"/>
      </fieldsUsage>
    </cacheHierarchy>
    <cacheHierarchy uniqueName="[Measures].[Total Orders]" caption="Total Orders" measure="1" displayFolder="" measureGroup="Order_Details" count="0" oneField="1">
      <fieldsUsage count="1">
        <fieldUsage x="4"/>
      </fieldsUsage>
    </cacheHierarchy>
    <cacheHierarchy uniqueName="[Measures].[Average Order Value]" caption="Average Order Value" measure="1" displayFolder="" measureGroup="Order_Details" count="0" oneField="1">
      <fieldsUsage count="1">
        <fieldUsage x="5"/>
      </fieldsUsage>
    </cacheHierarchy>
    <cacheHierarchy uniqueName="[Measures].[Average Quantity Per Order]" caption="Average Quantity Per Order" measure="1" displayFolder="" measureGroup="Order_Details" count="0" oneField="1">
      <fieldsUsage count="1">
        <fieldUsage x="6"/>
      </fieldsUsage>
    </cacheHierarchy>
    <cacheHierarchy uniqueName="[Measures].[Loss Orders]" caption="Loss Orders" measure="1" displayFolder="" measureGroup="Order_Details" count="0" oneField="1">
      <fieldsUsage count="1">
        <fieldUsage x="7"/>
      </fieldsUsage>
    </cacheHierarchy>
    <cacheHierarchy uniqueName="[Measures].[Profit Orders]" caption="Profit Orders" measure="1" displayFolder="" measureGroup="Order_Details" count="0" oneField="1">
      <fieldsUsage count="1">
        <fieldUsage x="8"/>
      </fieldsUsage>
    </cacheHierarchy>
    <cacheHierarchy uniqueName="[Measures].[__XL_Count List_of_order]" caption="__XL_Count List_of_order" measure="1" displayFolder="" measureGroup="List_of_order"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ofit]" caption="Sum of Profit" measure="1" displayFolder="" measureGroup="Order_Details" count="0" hidden="1">
      <extLst>
        <ext xmlns:x15="http://schemas.microsoft.com/office/spreadsheetml/2010/11/main" uri="{B97F6D7D-B522-45F9-BDA1-12C45D357490}">
          <x15:cacheHierarchy aggregatedColumn="9"/>
        </ext>
      </extLst>
    </cacheHierarchy>
    <cacheHierarchy uniqueName="[Measures].[Count of Profit]" caption="Count of Profit" measure="1" displayFolder="" measureGroup="Order_Details"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Order_Detail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List_of_order"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Order_Details" count="0" hidden="1">
      <extLst>
        <ext xmlns:x15="http://schemas.microsoft.com/office/spreadsheetml/2010/11/main" uri="{B97F6D7D-B522-45F9-BDA1-12C45D357490}">
          <x15:cacheHierarchy aggregatedColumn="8"/>
        </ext>
      </extLst>
    </cacheHierarchy>
    <cacheHierarchy uniqueName="[Measures].[Count of Order Status]" caption="Count of Order Status" measure="1" displayFolder="" measureGroup="List_of_order"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10"/>
        </ext>
      </extLst>
    </cacheHierarchy>
  </cacheHierarchies>
  <kpis count="0"/>
  <dimensions count="3">
    <dimension name="List_of_order" uniqueName="[List_of_order]" caption="List_of_order"/>
    <dimension measure="1" name="Measures" uniqueName="[Measures]" caption="Measures"/>
    <dimension name="Order_Details" uniqueName="[Order_Details]" caption="Order_Details"/>
  </dimensions>
  <measureGroups count="2">
    <measureGroup name="List_of_order" caption="List_of_order"/>
    <measureGroup name="Order_Details" caption="Order_Detail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NKPAD" refreshedDate="46129.817948495373" backgroundQuery="1" createdVersion="8" refreshedVersion="8" minRefreshableVersion="3" recordCount="0" supportSubquery="1" supportAdvancedDrill="1" xr:uid="{519E55F8-A705-4960-8CCA-BEB831E52DD8}">
  <cacheSource type="external" connectionId="5"/>
  <cacheFields count="4">
    <cacheField name="[List_of_order].[State].[State]" caption="State" numFmtId="0" hierarchy="3" level="1">
      <sharedItems count="10">
        <s v="Bihar"/>
        <s v="Delhi"/>
        <s v="Gujarat"/>
        <s v="Karnataka"/>
        <s v="Madhya Pradesh"/>
        <s v="Maharashtra"/>
        <s v="Punjab"/>
        <s v="Rajasthan"/>
        <s v="Uttar Pradesh"/>
        <s v="West Bengal"/>
      </sharedItems>
    </cacheField>
    <cacheField name="[List_of_order].[City].[City]" caption="City" numFmtId="0" hierarchy="4" level="1">
      <sharedItems count="5">
        <s v="Bhopal"/>
        <s v="Delhi"/>
        <s v="Indore"/>
        <s v="Mumbai"/>
        <s v="Pune"/>
      </sharedItems>
    </cacheField>
    <cacheField name="[Order_Details].[Category].[Category]" caption="Category" numFmtId="0" hierarchy="11" level="1">
      <sharedItems count="3">
        <s v="Clothing"/>
        <s v="Electronics"/>
        <s v="Furniture"/>
      </sharedItems>
    </cacheField>
    <cacheField name="[Measures].[Total Profit]" caption="Total Profit" numFmtId="0" hierarchy="18" level="32767"/>
  </cacheFields>
  <cacheHierarchies count="36">
    <cacheHierarchy uniqueName="[List_of_order].[Order ID]" caption="Order ID" attribute="1" defaultMemberUniqueName="[List_of_order].[Order ID].[All]" allUniqueName="[List_of_order].[Order ID].[All]" dimensionUniqueName="[List_of_order]" displayFolder="" count="0" memberValueDatatype="130" unbalanced="0"/>
    <cacheHierarchy uniqueName="[List_of_order].[Order Date]" caption="Order Date" attribute="1" time="1" defaultMemberUniqueName="[List_of_order].[Order Date].[All]" allUniqueName="[List_of_order].[Order Date].[All]" dimensionUniqueName="[List_of_order]" displayFolder="" count="0" memberValueDatatype="7" unbalanced="0"/>
    <cacheHierarchy uniqueName="[List_of_order].[CustomerName]" caption="CustomerName" attribute="1" defaultMemberUniqueName="[List_of_order].[CustomerName].[All]" allUniqueName="[List_of_order].[CustomerName].[All]" dimensionUniqueName="[List_of_order]" displayFolder="" count="0" memberValueDatatype="130" unbalanced="0"/>
    <cacheHierarchy uniqueName="[List_of_order].[State]" caption="State" attribute="1" defaultMemberUniqueName="[List_of_order].[State].[All]" allUniqueName="[List_of_order].[State].[All]" dimensionUniqueName="[List_of_order]" displayFolder="" count="2" memberValueDatatype="130" unbalanced="0">
      <fieldsUsage count="2">
        <fieldUsage x="-1"/>
        <fieldUsage x="0"/>
      </fieldsUsage>
    </cacheHierarchy>
    <cacheHierarchy uniqueName="[List_of_order].[City]" caption="City" attribute="1" defaultMemberUniqueName="[List_of_order].[City].[All]" allUniqueName="[List_of_order].[City].[All]" dimensionUniqueName="[List_of_order]" displayFolder="" count="2" memberValueDatatype="130" unbalanced="0">
      <fieldsUsage count="2">
        <fieldUsage x="-1"/>
        <fieldUsage x="1"/>
      </fieldsUsage>
    </cacheHierarchy>
    <cacheHierarchy uniqueName="[List_of_order].[Month Name]" caption="Month Name" attribute="1" defaultMemberUniqueName="[List_of_order].[Month Name].[All]" allUniqueName="[List_of_order].[Month Name].[All]" dimensionUniqueName="[List_of_order]" displayFolder="" count="0" memberValueDatatype="130" unbalanced="0"/>
    <cacheHierarchy uniqueName="[List_of_order].[Order Status]" caption="Order Status" attribute="1" defaultMemberUniqueName="[List_of_order].[Order Status].[All]" allUniqueName="[List_of_order].[Order Status].[All]" dimensionUniqueName="[List_of_order]" displayFolder="" count="0" memberValueDatatype="130" unbalanced="0"/>
    <cacheHierarchy uniqueName="[Order_Details].[Order ID]" caption="Order ID" attribute="1" defaultMemberUniqueName="[Order_Details].[Order ID].[All]" allUniqueName="[Order_Details].[Order ID].[All]" dimensionUniqueName="[Order_Details]" displayFolder="" count="0" memberValueDatatype="130" unbalanced="0"/>
    <cacheHierarchy uniqueName="[Order_Details].[Amount]" caption="Amount" attribute="1" defaultMemberUniqueName="[Order_Details].[Amount].[All]" allUniqueName="[Order_Details].[Amount].[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Category]" caption="Category" attribute="1" defaultMemberUniqueName="[Order_Details].[Category].[All]" allUniqueName="[Order_Details].[Category].[All]" dimensionUniqueName="[Order_Details]" displayFolder="" count="2" memberValueDatatype="130" unbalanced="0">
      <fieldsUsage count="2">
        <fieldUsage x="-1"/>
        <fieldUsage x="2"/>
      </fieldsUsage>
    </cacheHierarchy>
    <cacheHierarchy uniqueName="[Order_Details].[Sub-Category]" caption="Sub-Category" attribute="1" defaultMemberUniqueName="[Order_Details].[Sub-Category].[All]" allUniqueName="[Order_Details].[Sub-Category].[All]" dimensionUniqueName="[Order_Details]" displayFolder="" count="0" memberValueDatatype="130" unbalanced="0"/>
    <cacheHierarchy uniqueName="[List_of_order].[Order Date (Month Index)]" caption="Order Date (Month Index)" attribute="1" defaultMemberUniqueName="[List_of_order].[Order Date (Month Index)].[All]" allUniqueName="[List_of_order].[Order Date (Month Index)].[All]" dimensionUniqueName="[List_of_order]" displayFolder="" count="0" memberValueDatatype="20" unbalanced="0" hidden="1"/>
    <cacheHierarchy uniqueName="[List_of_order].[Order Date (Month)]" caption="Order Date (Month)" attribute="1" defaultMemberUniqueName="[List_of_order].[Order Date (Month)].[All]" allUniqueName="[List_of_order].[Order Date (Month)].[All]" dimensionUniqueName="[List_of_order]" displayFolder="" count="0" memberValueDatatype="130" unbalanced="0" hidden="1"/>
    <cacheHierarchy uniqueName="[List_of_order].[Order Date (Quarter)]" caption="Order Date (Quarter)" attribute="1" defaultMemberUniqueName="[List_of_order].[Order Date (Quarter)].[All]" allUniqueName="[List_of_order].[Order Date (Quarter)].[All]" dimensionUniqueName="[List_of_order]" displayFolder="" count="0" memberValueDatatype="130" unbalanced="0" hidden="1"/>
    <cacheHierarchy uniqueName="[List_of_order].[Order Date (Year)]" caption="Order Date (Year)" attribute="1" defaultMemberUniqueName="[List_of_order].[Order Date (Year)].[All]" allUniqueName="[List_of_order].[Order Date (Year)].[All]" dimensionUniqueName="[List_of_order]" displayFolder="" count="0" memberValueDatatype="130" unbalanced="0" hidden="1"/>
    <cacheHierarchy uniqueName="[Measures].[Total Sales]" caption="Total Sales" measure="1" displayFolder="" measureGroup="Order_Details" count="0"/>
    <cacheHierarchy uniqueName="[Measures].[Total Profit]" caption="Total Profit" measure="1" displayFolder="" measureGroup="Order_Details" count="0" oneField="1">
      <fieldsUsage count="1">
        <fieldUsage x="3"/>
      </fieldsUsage>
    </cacheHierarchy>
    <cacheHierarchy uniqueName="[Measures].[Total Quantity]" caption="Total Quantity" measure="1" displayFolder="" measureGroup="Order_Details" count="0"/>
    <cacheHierarchy uniqueName="[Measures].[Profit Margin %]" caption="Profit Margin %" measure="1" displayFolder="" measureGroup="Order_Details" count="0"/>
    <cacheHierarchy uniqueName="[Measures].[Total Orders]" caption="Total Orders" measure="1" displayFolder="" measureGroup="Order_Details" count="0"/>
    <cacheHierarchy uniqueName="[Measures].[Average Order Value]" caption="Average Order Value" measure="1" displayFolder="" measureGroup="Order_Details" count="0"/>
    <cacheHierarchy uniqueName="[Measures].[Average Quantity Per Order]" caption="Average Quantity Per Order" measure="1" displayFolder="" measureGroup="Order_Details" count="0"/>
    <cacheHierarchy uniqueName="[Measures].[Loss Orders]" caption="Loss Orders" measure="1" displayFolder="" measureGroup="Order_Details" count="0"/>
    <cacheHierarchy uniqueName="[Measures].[Profit Orders]" caption="Profit Orders" measure="1" displayFolder="" measureGroup="Order_Details" count="0"/>
    <cacheHierarchy uniqueName="[Measures].[__XL_Count List_of_order]" caption="__XL_Count List_of_order" measure="1" displayFolder="" measureGroup="List_of_order"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ofit]" caption="Sum of Profit" measure="1" displayFolder="" measureGroup="Order_Details" count="0" hidden="1">
      <extLst>
        <ext xmlns:x15="http://schemas.microsoft.com/office/spreadsheetml/2010/11/main" uri="{B97F6D7D-B522-45F9-BDA1-12C45D357490}">
          <x15:cacheHierarchy aggregatedColumn="9"/>
        </ext>
      </extLst>
    </cacheHierarchy>
    <cacheHierarchy uniqueName="[Measures].[Count of Profit]" caption="Count of Profit" measure="1" displayFolder="" measureGroup="Order_Details"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Order_Detail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List_of_order"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Order_Details" count="0" hidden="1">
      <extLst>
        <ext xmlns:x15="http://schemas.microsoft.com/office/spreadsheetml/2010/11/main" uri="{B97F6D7D-B522-45F9-BDA1-12C45D357490}">
          <x15:cacheHierarchy aggregatedColumn="8"/>
        </ext>
      </extLst>
    </cacheHierarchy>
    <cacheHierarchy uniqueName="[Measures].[Count of Order Status]" caption="Count of Order Status" measure="1" displayFolder="" measureGroup="List_of_order"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10"/>
        </ext>
      </extLst>
    </cacheHierarchy>
  </cacheHierarchies>
  <kpis count="0"/>
  <dimensions count="3">
    <dimension name="List_of_order" uniqueName="[List_of_order]" caption="List_of_order"/>
    <dimension measure="1" name="Measures" uniqueName="[Measures]" caption="Measures"/>
    <dimension name="Order_Details" uniqueName="[Order_Details]" caption="Order_Details"/>
  </dimensions>
  <measureGroups count="2">
    <measureGroup name="List_of_order" caption="List_of_order"/>
    <measureGroup name="Order_Details" caption="Order_Detail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NKPAD" refreshedDate="46130.483392013892" backgroundQuery="1" createdVersion="8" refreshedVersion="8" minRefreshableVersion="3" recordCount="0" supportSubquery="1" supportAdvancedDrill="1" xr:uid="{10A626F2-2946-4308-889C-7FC15C097433}">
  <cacheSource type="external" connectionId="5"/>
  <cacheFields count="4">
    <cacheField name="[List_of_order].[State].[State]" caption="State" numFmtId="0" hierarchy="3" level="1">
      <sharedItems count="10">
        <s v="Bihar"/>
        <s v="Delhi"/>
        <s v="Gujarat"/>
        <s v="Karnataka"/>
        <s v="Madhya Pradesh"/>
        <s v="Maharashtra"/>
        <s v="Punjab"/>
        <s v="Rajasthan"/>
        <s v="Uttar Pradesh"/>
        <s v="West Bengal"/>
      </sharedItems>
    </cacheField>
    <cacheField name="[Order_Details].[Category].[Category]" caption="Category" numFmtId="0" hierarchy="11" level="1">
      <sharedItems count="3">
        <s v="Clothing"/>
        <s v="Electronics"/>
        <s v="Furniture"/>
      </sharedItems>
    </cacheField>
    <cacheField name="[Measures].[Total Sales]" caption="Total Sales" numFmtId="0" hierarchy="17" level="32767"/>
    <cacheField name="[List_of_order].[Order Status].[Order Status]" caption="Order Status" numFmtId="0" hierarchy="6" level="1">
      <sharedItems containsSemiMixedTypes="0" containsNonDate="0" containsString="0"/>
    </cacheField>
  </cacheFields>
  <cacheHierarchies count="36">
    <cacheHierarchy uniqueName="[List_of_order].[Order ID]" caption="Order ID" attribute="1" defaultMemberUniqueName="[List_of_order].[Order ID].[All]" allUniqueName="[List_of_order].[Order ID].[All]" dimensionUniqueName="[List_of_order]" displayFolder="" count="0" memberValueDatatype="130" unbalanced="0"/>
    <cacheHierarchy uniqueName="[List_of_order].[Order Date]" caption="Order Date" attribute="1" time="1" defaultMemberUniqueName="[List_of_order].[Order Date].[All]" allUniqueName="[List_of_order].[Order Date].[All]" dimensionUniqueName="[List_of_order]" displayFolder="" count="0" memberValueDatatype="7" unbalanced="0"/>
    <cacheHierarchy uniqueName="[List_of_order].[CustomerName]" caption="CustomerName" attribute="1" defaultMemberUniqueName="[List_of_order].[CustomerName].[All]" allUniqueName="[List_of_order].[CustomerName].[All]" dimensionUniqueName="[List_of_order]" displayFolder="" count="0" memberValueDatatype="130" unbalanced="0"/>
    <cacheHierarchy uniqueName="[List_of_order].[State]" caption="State" attribute="1" defaultMemberUniqueName="[List_of_order].[State].[All]" allUniqueName="[List_of_order].[State].[All]" dimensionUniqueName="[List_of_order]" displayFolder="" count="2" memberValueDatatype="130" unbalanced="0">
      <fieldsUsage count="2">
        <fieldUsage x="-1"/>
        <fieldUsage x="0"/>
      </fieldsUsage>
    </cacheHierarchy>
    <cacheHierarchy uniqueName="[List_of_order].[City]" caption="City" attribute="1" defaultMemberUniqueName="[List_of_order].[City].[All]" allUniqueName="[List_of_order].[City].[All]" dimensionUniqueName="[List_of_order]" displayFolder="" count="0" memberValueDatatype="130" unbalanced="0"/>
    <cacheHierarchy uniqueName="[List_of_order].[Month Name]" caption="Month Name" attribute="1" defaultMemberUniqueName="[List_of_order].[Month Name].[All]" allUniqueName="[List_of_order].[Month Name].[All]" dimensionUniqueName="[List_of_order]" displayFolder="" count="0" memberValueDatatype="130" unbalanced="0"/>
    <cacheHierarchy uniqueName="[List_of_order].[Order Status]" caption="Order Status" attribute="1" defaultMemberUniqueName="[List_of_order].[Order Status].[All]" allUniqueName="[List_of_order].[Order Status].[All]" dimensionUniqueName="[List_of_order]" displayFolder="" count="2" memberValueDatatype="130" unbalanced="0">
      <fieldsUsage count="2">
        <fieldUsage x="-1"/>
        <fieldUsage x="3"/>
      </fieldsUsage>
    </cacheHierarchy>
    <cacheHierarchy uniqueName="[Order_Details].[Order ID]" caption="Order ID" attribute="1" defaultMemberUniqueName="[Order_Details].[Order ID].[All]" allUniqueName="[Order_Details].[Order ID].[All]" dimensionUniqueName="[Order_Details]" displayFolder="" count="0" memberValueDatatype="130" unbalanced="0"/>
    <cacheHierarchy uniqueName="[Order_Details].[Amount]" caption="Amount" attribute="1" defaultMemberUniqueName="[Order_Details].[Amount].[All]" allUniqueName="[Order_Details].[Amount].[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Category]" caption="Category" attribute="1" defaultMemberUniqueName="[Order_Details].[Category].[All]" allUniqueName="[Order_Details].[Category].[All]" dimensionUniqueName="[Order_Details]" displayFolder="" count="2" memberValueDatatype="130" unbalanced="0">
      <fieldsUsage count="2">
        <fieldUsage x="-1"/>
        <fieldUsage x="1"/>
      </fieldsUsage>
    </cacheHierarchy>
    <cacheHierarchy uniqueName="[Order_Details].[Sub-Category]" caption="Sub-Category" attribute="1" defaultMemberUniqueName="[Order_Details].[Sub-Category].[All]" allUniqueName="[Order_Details].[Sub-Category].[All]" dimensionUniqueName="[Order_Details]" displayFolder="" count="0" memberValueDatatype="130" unbalanced="0"/>
    <cacheHierarchy uniqueName="[List_of_order].[Order Date (Month Index)]" caption="Order Date (Month Index)" attribute="1" defaultMemberUniqueName="[List_of_order].[Order Date (Month Index)].[All]" allUniqueName="[List_of_order].[Order Date (Month Index)].[All]" dimensionUniqueName="[List_of_order]" displayFolder="" count="0" memberValueDatatype="20" unbalanced="0" hidden="1"/>
    <cacheHierarchy uniqueName="[List_of_order].[Order Date (Month)]" caption="Order Date (Month)" attribute="1" defaultMemberUniqueName="[List_of_order].[Order Date (Month)].[All]" allUniqueName="[List_of_order].[Order Date (Month)].[All]" dimensionUniqueName="[List_of_order]" displayFolder="" count="0" memberValueDatatype="130" unbalanced="0" hidden="1"/>
    <cacheHierarchy uniqueName="[List_of_order].[Order Date (Quarter)]" caption="Order Date (Quarter)" attribute="1" defaultMemberUniqueName="[List_of_order].[Order Date (Quarter)].[All]" allUniqueName="[List_of_order].[Order Date (Quarter)].[All]" dimensionUniqueName="[List_of_order]" displayFolder="" count="0" memberValueDatatype="130" unbalanced="0" hidden="1"/>
    <cacheHierarchy uniqueName="[List_of_order].[Order Date (Year)]" caption="Order Date (Year)" attribute="1" defaultMemberUniqueName="[List_of_order].[Order Date (Year)].[All]" allUniqueName="[List_of_order].[Order Date (Year)].[All]" dimensionUniqueName="[List_of_order]" displayFolder="" count="0" memberValueDatatype="130" unbalanced="0" hidden="1"/>
    <cacheHierarchy uniqueName="[Measures].[Total Sales]" caption="Total Sales" measure="1" displayFolder="" measureGroup="Order_Details" count="0" oneField="1">
      <fieldsUsage count="1">
        <fieldUsage x="2"/>
      </fieldsUsage>
    </cacheHierarchy>
    <cacheHierarchy uniqueName="[Measures].[Total Profit]" caption="Total Profit" measure="1" displayFolder="" measureGroup="Order_Details" count="0"/>
    <cacheHierarchy uniqueName="[Measures].[Total Quantity]" caption="Total Quantity" measure="1" displayFolder="" measureGroup="Order_Details" count="0"/>
    <cacheHierarchy uniqueName="[Measures].[Profit Margin %]" caption="Profit Margin %" measure="1" displayFolder="" measureGroup="Order_Details" count="0"/>
    <cacheHierarchy uniqueName="[Measures].[Total Orders]" caption="Total Orders" measure="1" displayFolder="" measureGroup="Order_Details" count="0"/>
    <cacheHierarchy uniqueName="[Measures].[Average Order Value]" caption="Average Order Value" measure="1" displayFolder="" measureGroup="Order_Details" count="0"/>
    <cacheHierarchy uniqueName="[Measures].[Average Quantity Per Order]" caption="Average Quantity Per Order" measure="1" displayFolder="" measureGroup="Order_Details" count="0"/>
    <cacheHierarchy uniqueName="[Measures].[Loss Orders]" caption="Loss Orders" measure="1" displayFolder="" measureGroup="Order_Details" count="0"/>
    <cacheHierarchy uniqueName="[Measures].[Profit Orders]" caption="Profit Orders" measure="1" displayFolder="" measureGroup="Order_Details" count="0"/>
    <cacheHierarchy uniqueName="[Measures].[__XL_Count List_of_order]" caption="__XL_Count List_of_order" measure="1" displayFolder="" measureGroup="List_of_order"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ofit]" caption="Sum of Profit" measure="1" displayFolder="" measureGroup="Order_Details" count="0" hidden="1">
      <extLst>
        <ext xmlns:x15="http://schemas.microsoft.com/office/spreadsheetml/2010/11/main" uri="{B97F6D7D-B522-45F9-BDA1-12C45D357490}">
          <x15:cacheHierarchy aggregatedColumn="9"/>
        </ext>
      </extLst>
    </cacheHierarchy>
    <cacheHierarchy uniqueName="[Measures].[Count of Profit]" caption="Count of Profit" measure="1" displayFolder="" measureGroup="Order_Details"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Order_Detail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List_of_order"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Order_Details" count="0" hidden="1">
      <extLst>
        <ext xmlns:x15="http://schemas.microsoft.com/office/spreadsheetml/2010/11/main" uri="{B97F6D7D-B522-45F9-BDA1-12C45D357490}">
          <x15:cacheHierarchy aggregatedColumn="8"/>
        </ext>
      </extLst>
    </cacheHierarchy>
    <cacheHierarchy uniqueName="[Measures].[Count of Order Status]" caption="Count of Order Status" measure="1" displayFolder="" measureGroup="List_of_order"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10"/>
        </ext>
      </extLst>
    </cacheHierarchy>
  </cacheHierarchies>
  <kpis count="0"/>
  <dimensions count="3">
    <dimension name="List_of_order" uniqueName="[List_of_order]" caption="List_of_order"/>
    <dimension measure="1" name="Measures" uniqueName="[Measures]" caption="Measures"/>
    <dimension name="Order_Details" uniqueName="[Order_Details]" caption="Order_Details"/>
  </dimensions>
  <measureGroups count="2">
    <measureGroup name="List_of_order" caption="List_of_order"/>
    <measureGroup name="Order_Details" caption="Order_Detail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NKPAD" refreshedDate="46130.591147222221" backgroundQuery="1" createdVersion="8" refreshedVersion="8" minRefreshableVersion="3" recordCount="0" supportSubquery="1" supportAdvancedDrill="1" xr:uid="{6D846710-BA30-4BFB-8FD7-F0D20D7CF35A}">
  <cacheSource type="external" connectionId="5"/>
  <cacheFields count="5">
    <cacheField name="[Measures].[Total Sales]" caption="Total Sales" numFmtId="0" hierarchy="17" level="32767"/>
    <cacheField name="[List_of_order].[Order Date (Month)].[Order Date (Month)]" caption="Order Date (Month)" numFmtId="0" hierarchy="14" level="1">
      <sharedItems count="12">
        <s v="Jan"/>
        <s v="Feb"/>
        <s v="Mar"/>
        <s v="Apr"/>
        <s v="May"/>
        <s v="Jun"/>
        <s v="Jul"/>
        <s v="Aug"/>
        <s v="Sep"/>
        <s v="Oct"/>
        <s v="Nov"/>
        <s v="Dec"/>
      </sharedItems>
    </cacheField>
    <cacheField name="[Measures].[Total Quantity]" caption="Total Quantity" numFmtId="0" hierarchy="19" level="32767"/>
    <cacheField name="[List_of_order].[Order Status].[Order Status]" caption="Order Status" numFmtId="0" hierarchy="6" level="1">
      <sharedItems containsSemiMixedTypes="0" containsNonDate="0" containsString="0"/>
    </cacheField>
    <cacheField name="[Order_Details].[Category].[Category]" caption="Category" numFmtId="0" hierarchy="11" level="1">
      <sharedItems containsSemiMixedTypes="0" containsNonDate="0" containsString="0"/>
    </cacheField>
  </cacheFields>
  <cacheHierarchies count="36">
    <cacheHierarchy uniqueName="[List_of_order].[Order ID]" caption="Order ID" attribute="1" defaultMemberUniqueName="[List_of_order].[Order ID].[All]" allUniqueName="[List_of_order].[Order ID].[All]" dimensionUniqueName="[List_of_order]" displayFolder="" count="2" memberValueDatatype="130" unbalanced="0"/>
    <cacheHierarchy uniqueName="[List_of_order].[Order Date]" caption="Order Date" attribute="1" time="1" defaultMemberUniqueName="[List_of_order].[Order Date].[All]" allUniqueName="[List_of_order].[Order Date].[All]" dimensionUniqueName="[List_of_order]" displayFolder="" count="2" memberValueDatatype="7" unbalanced="0"/>
    <cacheHierarchy uniqueName="[List_of_order].[CustomerName]" caption="CustomerName" attribute="1" defaultMemberUniqueName="[List_of_order].[CustomerName].[All]" allUniqueName="[List_of_order].[CustomerName].[All]" dimensionUniqueName="[List_of_order]" displayFolder="" count="2" memberValueDatatype="130" unbalanced="0"/>
    <cacheHierarchy uniqueName="[List_of_order].[State]" caption="State" attribute="1" defaultMemberUniqueName="[List_of_order].[State].[All]" allUniqueName="[List_of_order].[State].[All]" dimensionUniqueName="[List_of_order]" displayFolder="" count="2" memberValueDatatype="130" unbalanced="0"/>
    <cacheHierarchy uniqueName="[List_of_order].[City]" caption="City" attribute="1" defaultMemberUniqueName="[List_of_order].[City].[All]" allUniqueName="[List_of_order].[City].[All]" dimensionUniqueName="[List_of_order]" displayFolder="" count="2" memberValueDatatype="130" unbalanced="0"/>
    <cacheHierarchy uniqueName="[List_of_order].[Month Name]" caption="Month Name" attribute="1" defaultMemberUniqueName="[List_of_order].[Month Name].[All]" allUniqueName="[List_of_order].[Month Name].[All]" dimensionUniqueName="[List_of_order]" displayFolder="" count="2" memberValueDatatype="130" unbalanced="0"/>
    <cacheHierarchy uniqueName="[List_of_order].[Order Status]" caption="Order Status" attribute="1" defaultMemberUniqueName="[List_of_order].[Order Status].[All]" allUniqueName="[List_of_order].[Order Status].[All]" dimensionUniqueName="[List_of_order]" displayFolder="" count="2" memberValueDatatype="130" unbalanced="0">
      <fieldsUsage count="2">
        <fieldUsage x="-1"/>
        <fieldUsage x="3"/>
      </fieldsUsage>
    </cacheHierarchy>
    <cacheHierarchy uniqueName="[Order_Details].[Order ID]" caption="Order ID" attribute="1" defaultMemberUniqueName="[Order_Details].[Order ID].[All]" allUniqueName="[Order_Details].[Order ID].[All]" dimensionUniqueName="[Order_Details]" displayFolder="" count="2" memberValueDatatype="130" unbalanced="0"/>
    <cacheHierarchy uniqueName="[Order_Details].[Amount]" caption="Amount" attribute="1" defaultMemberUniqueName="[Order_Details].[Amount].[All]" allUniqueName="[Order_Details].[Amount].[All]" dimensionUniqueName="[Order_Details]" displayFolder="" count="2" memberValueDatatype="5" unbalanced="0"/>
    <cacheHierarchy uniqueName="[Order_Details].[Profit]" caption="Profit" attribute="1" defaultMemberUniqueName="[Order_Details].[Profit].[All]" allUniqueName="[Order_Details].[Profit].[All]" dimensionUniqueName="[Order_Details]" displayFolder="" count="2" memberValueDatatype="5" unbalanced="0"/>
    <cacheHierarchy uniqueName="[Order_Details].[Quantity]" caption="Quantity" attribute="1" defaultMemberUniqueName="[Order_Details].[Quantity].[All]" allUniqueName="[Order_Details].[Quantity].[All]" dimensionUniqueName="[Order_Details]" displayFolder="" count="2" memberValueDatatype="20" unbalanced="0"/>
    <cacheHierarchy uniqueName="[Order_Details].[Category]" caption="Category" attribute="1" defaultMemberUniqueName="[Order_Details].[Category].[All]" allUniqueName="[Order_Details].[Category].[All]" dimensionUniqueName="[Order_Details]" displayFolder="" count="2" memberValueDatatype="130" unbalanced="0">
      <fieldsUsage count="2">
        <fieldUsage x="-1"/>
        <fieldUsage x="4"/>
      </fieldsUsage>
    </cacheHierarchy>
    <cacheHierarchy uniqueName="[Order_Details].[Sub-Category]" caption="Sub-Category" attribute="1" defaultMemberUniqueName="[Order_Details].[Sub-Category].[All]" allUniqueName="[Order_Details].[Sub-Category].[All]" dimensionUniqueName="[Order_Details]" displayFolder="" count="2" memberValueDatatype="130" unbalanced="0"/>
    <cacheHierarchy uniqueName="[List_of_order].[Order Date (Month Index)]" caption="Order Date (Month Index)" attribute="1" defaultMemberUniqueName="[List_of_order].[Order Date (Month Index)].[All]" allUniqueName="[List_of_order].[Order Date (Month Index)].[All]" dimensionUniqueName="[List_of_order]" displayFolder="" count="2" memberValueDatatype="20" unbalanced="0" hidden="1"/>
    <cacheHierarchy uniqueName="[List_of_order].[Order Date (Month)]" caption="Order Date (Month)" attribute="1" defaultMemberUniqueName="[List_of_order].[Order Date (Month)].[All]" allUniqueName="[List_of_order].[Order Date (Month)].[All]" dimensionUniqueName="[List_of_order]" displayFolder="" count="2" memberValueDatatype="130" unbalanced="0" hidden="1">
      <fieldsUsage count="2">
        <fieldUsage x="-1"/>
        <fieldUsage x="1"/>
      </fieldsUsage>
    </cacheHierarchy>
    <cacheHierarchy uniqueName="[List_of_order].[Order Date (Quarter)]" caption="Order Date (Quarter)" attribute="1" defaultMemberUniqueName="[List_of_order].[Order Date (Quarter)].[All]" allUniqueName="[List_of_order].[Order Date (Quarter)].[All]" dimensionUniqueName="[List_of_order]" displayFolder="" count="2" memberValueDatatype="130" unbalanced="0" hidden="1"/>
    <cacheHierarchy uniqueName="[List_of_order].[Order Date (Year)]" caption="Order Date (Year)" attribute="1" defaultMemberUniqueName="[List_of_order].[Order Date (Year)].[All]" allUniqueName="[List_of_order].[Order Date (Year)].[All]" dimensionUniqueName="[List_of_order]" displayFolder="" count="2" memberValueDatatype="130" unbalanced="0" hidden="1"/>
    <cacheHierarchy uniqueName="[Measures].[Total Sales]" caption="Total Sales" measure="1" displayFolder="" measureGroup="Order_Details" count="0" oneField="1">
      <fieldsUsage count="1">
        <fieldUsage x="0"/>
      </fieldsUsage>
    </cacheHierarchy>
    <cacheHierarchy uniqueName="[Measures].[Total Profit]" caption="Total Profit" measure="1" displayFolder="" measureGroup="Order_Details" count="0"/>
    <cacheHierarchy uniqueName="[Measures].[Total Quantity]" caption="Total Quantity" measure="1" displayFolder="" measureGroup="Order_Details" count="0" oneField="1">
      <fieldsUsage count="1">
        <fieldUsage x="2"/>
      </fieldsUsage>
    </cacheHierarchy>
    <cacheHierarchy uniqueName="[Measures].[Profit Margin %]" caption="Profit Margin %" measure="1" displayFolder="" measureGroup="Order_Details" count="0"/>
    <cacheHierarchy uniqueName="[Measures].[Total Orders]" caption="Total Orders" measure="1" displayFolder="" measureGroup="Order_Details" count="0"/>
    <cacheHierarchy uniqueName="[Measures].[Average Order Value]" caption="Average Order Value" measure="1" displayFolder="" measureGroup="Order_Details" count="0"/>
    <cacheHierarchy uniqueName="[Measures].[Average Quantity Per Order]" caption="Average Quantity Per Order" measure="1" displayFolder="" measureGroup="Order_Details" count="0"/>
    <cacheHierarchy uniqueName="[Measures].[Loss Orders]" caption="Loss Orders" measure="1" displayFolder="" measureGroup="Order_Details" count="0"/>
    <cacheHierarchy uniqueName="[Measures].[Profit Orders]" caption="Profit Orders" measure="1" displayFolder="" measureGroup="Order_Details" count="0"/>
    <cacheHierarchy uniqueName="[Measures].[__XL_Count List_of_order]" caption="__XL_Count List_of_order" measure="1" displayFolder="" measureGroup="List_of_order"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ofit]" caption="Sum of Profit" measure="1" displayFolder="" measureGroup="Order_Details" count="0" hidden="1">
      <extLst>
        <ext xmlns:x15="http://schemas.microsoft.com/office/spreadsheetml/2010/11/main" uri="{B97F6D7D-B522-45F9-BDA1-12C45D357490}">
          <x15:cacheHierarchy aggregatedColumn="9"/>
        </ext>
      </extLst>
    </cacheHierarchy>
    <cacheHierarchy uniqueName="[Measures].[Count of Profit]" caption="Count of Profit" measure="1" displayFolder="" measureGroup="Order_Details"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Order_Detail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List_of_order"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Order_Details" count="0" hidden="1">
      <extLst>
        <ext xmlns:x15="http://schemas.microsoft.com/office/spreadsheetml/2010/11/main" uri="{B97F6D7D-B522-45F9-BDA1-12C45D357490}">
          <x15:cacheHierarchy aggregatedColumn="8"/>
        </ext>
      </extLst>
    </cacheHierarchy>
    <cacheHierarchy uniqueName="[Measures].[Count of Order Status]" caption="Count of Order Status" measure="1" displayFolder="" measureGroup="List_of_order"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10"/>
        </ext>
      </extLst>
    </cacheHierarchy>
  </cacheHierarchies>
  <kpis count="0"/>
  <dimensions count="3">
    <dimension name="List_of_order" uniqueName="[List_of_order]" caption="List_of_order"/>
    <dimension measure="1" name="Measures" uniqueName="[Measures]" caption="Measures"/>
    <dimension name="Order_Details" uniqueName="[Order_Details]" caption="Order_Details"/>
  </dimensions>
  <measureGroups count="2">
    <measureGroup name="List_of_order" caption="List_of_order"/>
    <measureGroup name="Order_Details" caption="Order_Detail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NKPAD" refreshedDate="46130.591148263891" backgroundQuery="1" createdVersion="8" refreshedVersion="8" minRefreshableVersion="3" recordCount="0" supportSubquery="1" supportAdvancedDrill="1" xr:uid="{4C54DF3F-825E-457F-98C5-2FD8425C9E27}">
  <cacheSource type="external" connectionId="5"/>
  <cacheFields count="5">
    <cacheField name="[List_of_order].[State].[State]" caption="State" numFmtId="0" hierarchy="3" level="1">
      <sharedItems count="10">
        <s v="Bihar"/>
        <s v="Delhi"/>
        <s v="Gujarat"/>
        <s v="Karnataka"/>
        <s v="Madhya Pradesh"/>
        <s v="Maharashtra"/>
        <s v="Punjab"/>
        <s v="Rajasthan"/>
        <s v="Uttar Pradesh"/>
        <s v="West Bengal"/>
      </sharedItems>
    </cacheField>
    <cacheField name="[Order_Details].[Sub-Category].[Sub-Category]" caption="Sub-Category" numFmtId="0" hierarchy="12" level="1">
      <sharedItems count="17">
        <s v="Accessories"/>
        <s v="Bookcases"/>
        <s v="Chairs"/>
        <s v="Electronic Games"/>
        <s v="Furnishings"/>
        <s v="Hankerchief"/>
        <s v="Kurti"/>
        <s v="Leggings"/>
        <s v="Phones"/>
        <s v="Printers"/>
        <s v="Saree"/>
        <s v="Shirt"/>
        <s v="Skirt"/>
        <s v="Stole"/>
        <s v="Tables"/>
        <s v="Trousers"/>
        <s v="T-shirt"/>
      </sharedItems>
    </cacheField>
    <cacheField name="[Measures].[Total Sales]" caption="Total Sales" numFmtId="0" hierarchy="17" level="32767"/>
    <cacheField name="[List_of_order].[Order Status].[Order Status]" caption="Order Status" numFmtId="0" hierarchy="6" level="1">
      <sharedItems containsSemiMixedTypes="0" containsNonDate="0" containsString="0"/>
    </cacheField>
    <cacheField name="[Order_Details].[Category].[Category]" caption="Category" numFmtId="0" hierarchy="11" level="1">
      <sharedItems containsSemiMixedTypes="0" containsNonDate="0" containsString="0"/>
    </cacheField>
  </cacheFields>
  <cacheHierarchies count="36">
    <cacheHierarchy uniqueName="[List_of_order].[Order ID]" caption="Order ID" attribute="1" defaultMemberUniqueName="[List_of_order].[Order ID].[All]" allUniqueName="[List_of_order].[Order ID].[All]" dimensionUniqueName="[List_of_order]" displayFolder="" count="0" memberValueDatatype="130" unbalanced="0"/>
    <cacheHierarchy uniqueName="[List_of_order].[Order Date]" caption="Order Date" attribute="1" time="1" defaultMemberUniqueName="[List_of_order].[Order Date].[All]" allUniqueName="[List_of_order].[Order Date].[All]" dimensionUniqueName="[List_of_order]" displayFolder="" count="0" memberValueDatatype="7" unbalanced="0"/>
    <cacheHierarchy uniqueName="[List_of_order].[CustomerName]" caption="CustomerName" attribute="1" defaultMemberUniqueName="[List_of_order].[CustomerName].[All]" allUniqueName="[List_of_order].[CustomerName].[All]" dimensionUniqueName="[List_of_order]" displayFolder="" count="0" memberValueDatatype="130" unbalanced="0"/>
    <cacheHierarchy uniqueName="[List_of_order].[State]" caption="State" attribute="1" defaultMemberUniqueName="[List_of_order].[State].[All]" allUniqueName="[List_of_order].[State].[All]" dimensionUniqueName="[List_of_order]" displayFolder="" count="2" memberValueDatatype="130" unbalanced="0">
      <fieldsUsage count="2">
        <fieldUsage x="-1"/>
        <fieldUsage x="0"/>
      </fieldsUsage>
    </cacheHierarchy>
    <cacheHierarchy uniqueName="[List_of_order].[City]" caption="City" attribute="1" defaultMemberUniqueName="[List_of_order].[City].[All]" allUniqueName="[List_of_order].[City].[All]" dimensionUniqueName="[List_of_order]" displayFolder="" count="0" memberValueDatatype="130" unbalanced="0"/>
    <cacheHierarchy uniqueName="[List_of_order].[Month Name]" caption="Month Name" attribute="1" defaultMemberUniqueName="[List_of_order].[Month Name].[All]" allUniqueName="[List_of_order].[Month Name].[All]" dimensionUniqueName="[List_of_order]" displayFolder="" count="0" memberValueDatatype="130" unbalanced="0"/>
    <cacheHierarchy uniqueName="[List_of_order].[Order Status]" caption="Order Status" attribute="1" defaultMemberUniqueName="[List_of_order].[Order Status].[All]" allUniqueName="[List_of_order].[Order Status].[All]" dimensionUniqueName="[List_of_order]" displayFolder="" count="2" memberValueDatatype="130" unbalanced="0">
      <fieldsUsage count="2">
        <fieldUsage x="-1"/>
        <fieldUsage x="3"/>
      </fieldsUsage>
    </cacheHierarchy>
    <cacheHierarchy uniqueName="[Order_Details].[Order ID]" caption="Order ID" attribute="1" defaultMemberUniqueName="[Order_Details].[Order ID].[All]" allUniqueName="[Order_Details].[Order ID].[All]" dimensionUniqueName="[Order_Details]" displayFolder="" count="0" memberValueDatatype="130" unbalanced="0"/>
    <cacheHierarchy uniqueName="[Order_Details].[Amount]" caption="Amount" attribute="1" defaultMemberUniqueName="[Order_Details].[Amount].[All]" allUniqueName="[Order_Details].[Amount].[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Category]" caption="Category" attribute="1" defaultMemberUniqueName="[Order_Details].[Category].[All]" allUniqueName="[Order_Details].[Category].[All]" dimensionUniqueName="[Order_Details]" displayFolder="" count="2" memberValueDatatype="130" unbalanced="0">
      <fieldsUsage count="2">
        <fieldUsage x="-1"/>
        <fieldUsage x="4"/>
      </fieldsUsage>
    </cacheHierarchy>
    <cacheHierarchy uniqueName="[Order_Details].[Sub-Category]" caption="Sub-Category" attribute="1" defaultMemberUniqueName="[Order_Details].[Sub-Category].[All]" allUniqueName="[Order_Details].[Sub-Category].[All]" dimensionUniqueName="[Order_Details]" displayFolder="" count="2" memberValueDatatype="130" unbalanced="0">
      <fieldsUsage count="2">
        <fieldUsage x="-1"/>
        <fieldUsage x="1"/>
      </fieldsUsage>
    </cacheHierarchy>
    <cacheHierarchy uniqueName="[List_of_order].[Order Date (Month Index)]" caption="Order Date (Month Index)" attribute="1" defaultMemberUniqueName="[List_of_order].[Order Date (Month Index)].[All]" allUniqueName="[List_of_order].[Order Date (Month Index)].[All]" dimensionUniqueName="[List_of_order]" displayFolder="" count="0" memberValueDatatype="20" unbalanced="0" hidden="1"/>
    <cacheHierarchy uniqueName="[List_of_order].[Order Date (Month)]" caption="Order Date (Month)" attribute="1" defaultMemberUniqueName="[List_of_order].[Order Date (Month)].[All]" allUniqueName="[List_of_order].[Order Date (Month)].[All]" dimensionUniqueName="[List_of_order]" displayFolder="" count="0" memberValueDatatype="130" unbalanced="0" hidden="1"/>
    <cacheHierarchy uniqueName="[List_of_order].[Order Date (Quarter)]" caption="Order Date (Quarter)" attribute="1" defaultMemberUniqueName="[List_of_order].[Order Date (Quarter)].[All]" allUniqueName="[List_of_order].[Order Date (Quarter)].[All]" dimensionUniqueName="[List_of_order]" displayFolder="" count="0" memberValueDatatype="130" unbalanced="0" hidden="1"/>
    <cacheHierarchy uniqueName="[List_of_order].[Order Date (Year)]" caption="Order Date (Year)" attribute="1" defaultMemberUniqueName="[List_of_order].[Order Date (Year)].[All]" allUniqueName="[List_of_order].[Order Date (Year)].[All]" dimensionUniqueName="[List_of_order]" displayFolder="" count="0" memberValueDatatype="130" unbalanced="0" hidden="1"/>
    <cacheHierarchy uniqueName="[Measures].[Total Sales]" caption="Total Sales" measure="1" displayFolder="" measureGroup="Order_Details" count="0" oneField="1">
      <fieldsUsage count="1">
        <fieldUsage x="2"/>
      </fieldsUsage>
    </cacheHierarchy>
    <cacheHierarchy uniqueName="[Measures].[Total Profit]" caption="Total Profit" measure="1" displayFolder="" measureGroup="Order_Details" count="0"/>
    <cacheHierarchy uniqueName="[Measures].[Total Quantity]" caption="Total Quantity" measure="1" displayFolder="" measureGroup="Order_Details" count="0"/>
    <cacheHierarchy uniqueName="[Measures].[Profit Margin %]" caption="Profit Margin %" measure="1" displayFolder="" measureGroup="Order_Details" count="0"/>
    <cacheHierarchy uniqueName="[Measures].[Total Orders]" caption="Total Orders" measure="1" displayFolder="" measureGroup="Order_Details" count="0"/>
    <cacheHierarchy uniqueName="[Measures].[Average Order Value]" caption="Average Order Value" measure="1" displayFolder="" measureGroup="Order_Details" count="0"/>
    <cacheHierarchy uniqueName="[Measures].[Average Quantity Per Order]" caption="Average Quantity Per Order" measure="1" displayFolder="" measureGroup="Order_Details" count="0"/>
    <cacheHierarchy uniqueName="[Measures].[Loss Orders]" caption="Loss Orders" measure="1" displayFolder="" measureGroup="Order_Details" count="0"/>
    <cacheHierarchy uniqueName="[Measures].[Profit Orders]" caption="Profit Orders" measure="1" displayFolder="" measureGroup="Order_Details" count="0"/>
    <cacheHierarchy uniqueName="[Measures].[__XL_Count List_of_order]" caption="__XL_Count List_of_order" measure="1" displayFolder="" measureGroup="List_of_order"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ofit]" caption="Sum of Profit" measure="1" displayFolder="" measureGroup="Order_Details" count="0" hidden="1">
      <extLst>
        <ext xmlns:x15="http://schemas.microsoft.com/office/spreadsheetml/2010/11/main" uri="{B97F6D7D-B522-45F9-BDA1-12C45D357490}">
          <x15:cacheHierarchy aggregatedColumn="9"/>
        </ext>
      </extLst>
    </cacheHierarchy>
    <cacheHierarchy uniqueName="[Measures].[Count of Profit]" caption="Count of Profit" measure="1" displayFolder="" measureGroup="Order_Details"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Order_Detail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List_of_order"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Order_Details" count="0" hidden="1">
      <extLst>
        <ext xmlns:x15="http://schemas.microsoft.com/office/spreadsheetml/2010/11/main" uri="{B97F6D7D-B522-45F9-BDA1-12C45D357490}">
          <x15:cacheHierarchy aggregatedColumn="8"/>
        </ext>
      </extLst>
    </cacheHierarchy>
    <cacheHierarchy uniqueName="[Measures].[Count of Order Status]" caption="Count of Order Status" measure="1" displayFolder="" measureGroup="List_of_order"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10"/>
        </ext>
      </extLst>
    </cacheHierarchy>
  </cacheHierarchies>
  <kpis count="0"/>
  <dimensions count="3">
    <dimension name="List_of_order" uniqueName="[List_of_order]" caption="List_of_order"/>
    <dimension measure="1" name="Measures" uniqueName="[Measures]" caption="Measures"/>
    <dimension name="Order_Details" uniqueName="[Order_Details]" caption="Order_Details"/>
  </dimensions>
  <measureGroups count="2">
    <measureGroup name="List_of_order" caption="List_of_order"/>
    <measureGroup name="Order_Details" caption="Order_Detail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NKPAD" refreshedDate="46130.591148726853" backgroundQuery="1" createdVersion="8" refreshedVersion="8" minRefreshableVersion="3" recordCount="0" supportSubquery="1" supportAdvancedDrill="1" xr:uid="{EEB290DF-84AB-4BE0-8F47-B83E21A0B51A}">
  <cacheSource type="external" connectionId="5"/>
  <cacheFields count="4">
    <cacheField name="[List_of_order].[State].[State]" caption="State" numFmtId="0" hierarchy="3" level="1">
      <sharedItems count="19">
        <s v="Andhra Pradesh"/>
        <s v="Bihar"/>
        <s v="Delhi"/>
        <s v="Goa"/>
        <s v="Gujarat"/>
        <s v="Haryana"/>
        <s v="Himachal Pradesh"/>
        <s v="Jammu and Kashmir"/>
        <s v="Karnataka"/>
        <s v="Kerala"/>
        <s v="Madhya Pradesh"/>
        <s v="Maharashtra"/>
        <s v="Nagaland"/>
        <s v="Punjab"/>
        <s v="Rajasthan"/>
        <s v="Sikkim"/>
        <s v="Tamil Nadu"/>
        <s v="Uttar Pradesh"/>
        <s v="West Bengal"/>
      </sharedItems>
    </cacheField>
    <cacheField name="[Measures].[Profit Margin %]" caption="Profit Margin %" numFmtId="0" hierarchy="20" level="32767"/>
    <cacheField name="[List_of_order].[Order Status].[Order Status]" caption="Order Status" numFmtId="0" hierarchy="6" level="1">
      <sharedItems containsSemiMixedTypes="0" containsNonDate="0" containsString="0"/>
    </cacheField>
    <cacheField name="[Order_Details].[Category].[Category]" caption="Category" numFmtId="0" hierarchy="11" level="1">
      <sharedItems containsSemiMixedTypes="0" containsNonDate="0" containsString="0"/>
    </cacheField>
  </cacheFields>
  <cacheHierarchies count="36">
    <cacheHierarchy uniqueName="[List_of_order].[Order ID]" caption="Order ID" attribute="1" defaultMemberUniqueName="[List_of_order].[Order ID].[All]" allUniqueName="[List_of_order].[Order ID].[All]" dimensionUniqueName="[List_of_order]" displayFolder="" count="0" memberValueDatatype="130" unbalanced="0"/>
    <cacheHierarchy uniqueName="[List_of_order].[Order Date]" caption="Order Date" attribute="1" time="1" defaultMemberUniqueName="[List_of_order].[Order Date].[All]" allUniqueName="[List_of_order].[Order Date].[All]" dimensionUniqueName="[List_of_order]" displayFolder="" count="0" memberValueDatatype="7" unbalanced="0"/>
    <cacheHierarchy uniqueName="[List_of_order].[CustomerName]" caption="CustomerName" attribute="1" defaultMemberUniqueName="[List_of_order].[CustomerName].[All]" allUniqueName="[List_of_order].[CustomerName].[All]" dimensionUniqueName="[List_of_order]" displayFolder="" count="0" memberValueDatatype="130" unbalanced="0"/>
    <cacheHierarchy uniqueName="[List_of_order].[State]" caption="State" attribute="1" defaultMemberUniqueName="[List_of_order].[State].[All]" allUniqueName="[List_of_order].[State].[All]" dimensionUniqueName="[List_of_order]" displayFolder="" count="2" memberValueDatatype="130" unbalanced="0">
      <fieldsUsage count="2">
        <fieldUsage x="-1"/>
        <fieldUsage x="0"/>
      </fieldsUsage>
    </cacheHierarchy>
    <cacheHierarchy uniqueName="[List_of_order].[City]" caption="City" attribute="1" defaultMemberUniqueName="[List_of_order].[City].[All]" allUniqueName="[List_of_order].[City].[All]" dimensionUniqueName="[List_of_order]" displayFolder="" count="0" memberValueDatatype="130" unbalanced="0"/>
    <cacheHierarchy uniqueName="[List_of_order].[Month Name]" caption="Month Name" attribute="1" defaultMemberUniqueName="[List_of_order].[Month Name].[All]" allUniqueName="[List_of_order].[Month Name].[All]" dimensionUniqueName="[List_of_order]" displayFolder="" count="0" memberValueDatatype="130" unbalanced="0"/>
    <cacheHierarchy uniqueName="[List_of_order].[Order Status]" caption="Order Status" attribute="1" defaultMemberUniqueName="[List_of_order].[Order Status].[All]" allUniqueName="[List_of_order].[Order Status].[All]" dimensionUniqueName="[List_of_order]" displayFolder="" count="2" memberValueDatatype="130" unbalanced="0">
      <fieldsUsage count="2">
        <fieldUsage x="-1"/>
        <fieldUsage x="2"/>
      </fieldsUsage>
    </cacheHierarchy>
    <cacheHierarchy uniqueName="[Order_Details].[Order ID]" caption="Order ID" attribute="1" defaultMemberUniqueName="[Order_Details].[Order ID].[All]" allUniqueName="[Order_Details].[Order ID].[All]" dimensionUniqueName="[Order_Details]" displayFolder="" count="0" memberValueDatatype="130" unbalanced="0"/>
    <cacheHierarchy uniqueName="[Order_Details].[Amount]" caption="Amount" attribute="1" defaultMemberUniqueName="[Order_Details].[Amount].[All]" allUniqueName="[Order_Details].[Amount].[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Category]" caption="Category" attribute="1" defaultMemberUniqueName="[Order_Details].[Category].[All]" allUniqueName="[Order_Details].[Category].[All]" dimensionUniqueName="[Order_Details]" displayFolder="" count="2" memberValueDatatype="130" unbalanced="0">
      <fieldsUsage count="2">
        <fieldUsage x="-1"/>
        <fieldUsage x="3"/>
      </fieldsUsage>
    </cacheHierarchy>
    <cacheHierarchy uniqueName="[Order_Details].[Sub-Category]" caption="Sub-Category" attribute="1" defaultMemberUniqueName="[Order_Details].[Sub-Category].[All]" allUniqueName="[Order_Details].[Sub-Category].[All]" dimensionUniqueName="[Order_Details]" displayFolder="" count="0" memberValueDatatype="130" unbalanced="0"/>
    <cacheHierarchy uniqueName="[List_of_order].[Order Date (Month Index)]" caption="Order Date (Month Index)" attribute="1" defaultMemberUniqueName="[List_of_order].[Order Date (Month Index)].[All]" allUniqueName="[List_of_order].[Order Date (Month Index)].[All]" dimensionUniqueName="[List_of_order]" displayFolder="" count="0" memberValueDatatype="20" unbalanced="0" hidden="1"/>
    <cacheHierarchy uniqueName="[List_of_order].[Order Date (Month)]" caption="Order Date (Month)" attribute="1" defaultMemberUniqueName="[List_of_order].[Order Date (Month)].[All]" allUniqueName="[List_of_order].[Order Date (Month)].[All]" dimensionUniqueName="[List_of_order]" displayFolder="" count="0" memberValueDatatype="130" unbalanced="0" hidden="1"/>
    <cacheHierarchy uniqueName="[List_of_order].[Order Date (Quarter)]" caption="Order Date (Quarter)" attribute="1" defaultMemberUniqueName="[List_of_order].[Order Date (Quarter)].[All]" allUniqueName="[List_of_order].[Order Date (Quarter)].[All]" dimensionUniqueName="[List_of_order]" displayFolder="" count="0" memberValueDatatype="130" unbalanced="0" hidden="1"/>
    <cacheHierarchy uniqueName="[List_of_order].[Order Date (Year)]" caption="Order Date (Year)" attribute="1" defaultMemberUniqueName="[List_of_order].[Order Date (Year)].[All]" allUniqueName="[List_of_order].[Order Date (Year)].[All]" dimensionUniqueName="[List_of_order]" displayFolder="" count="0" memberValueDatatype="130" unbalanced="0" hidden="1"/>
    <cacheHierarchy uniqueName="[Measures].[Total Sales]" caption="Total Sales" measure="1" displayFolder="" measureGroup="Order_Details" count="0"/>
    <cacheHierarchy uniqueName="[Measures].[Total Profit]" caption="Total Profit" measure="1" displayFolder="" measureGroup="Order_Details" count="0"/>
    <cacheHierarchy uniqueName="[Measures].[Total Quantity]" caption="Total Quantity" measure="1" displayFolder="" measureGroup="Order_Details" count="0"/>
    <cacheHierarchy uniqueName="[Measures].[Profit Margin %]" caption="Profit Margin %" measure="1" displayFolder="" measureGroup="Order_Details" count="0" oneField="1">
      <fieldsUsage count="1">
        <fieldUsage x="1"/>
      </fieldsUsage>
    </cacheHierarchy>
    <cacheHierarchy uniqueName="[Measures].[Total Orders]" caption="Total Orders" measure="1" displayFolder="" measureGroup="Order_Details" count="0"/>
    <cacheHierarchy uniqueName="[Measures].[Average Order Value]" caption="Average Order Value" measure="1" displayFolder="" measureGroup="Order_Details" count="0"/>
    <cacheHierarchy uniqueName="[Measures].[Average Quantity Per Order]" caption="Average Quantity Per Order" measure="1" displayFolder="" measureGroup="Order_Details" count="0"/>
    <cacheHierarchy uniqueName="[Measures].[Loss Orders]" caption="Loss Orders" measure="1" displayFolder="" measureGroup="Order_Details" count="0"/>
    <cacheHierarchy uniqueName="[Measures].[Profit Orders]" caption="Profit Orders" measure="1" displayFolder="" measureGroup="Order_Details" count="0"/>
    <cacheHierarchy uniqueName="[Measures].[__XL_Count List_of_order]" caption="__XL_Count List_of_order" measure="1" displayFolder="" measureGroup="List_of_order"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ofit]" caption="Sum of Profit" measure="1" displayFolder="" measureGroup="Order_Details" count="0" hidden="1">
      <extLst>
        <ext xmlns:x15="http://schemas.microsoft.com/office/spreadsheetml/2010/11/main" uri="{B97F6D7D-B522-45F9-BDA1-12C45D357490}">
          <x15:cacheHierarchy aggregatedColumn="9"/>
        </ext>
      </extLst>
    </cacheHierarchy>
    <cacheHierarchy uniqueName="[Measures].[Count of Profit]" caption="Count of Profit" measure="1" displayFolder="" measureGroup="Order_Details"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Order_Detail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List_of_order"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Order_Details" count="0" hidden="1">
      <extLst>
        <ext xmlns:x15="http://schemas.microsoft.com/office/spreadsheetml/2010/11/main" uri="{B97F6D7D-B522-45F9-BDA1-12C45D357490}">
          <x15:cacheHierarchy aggregatedColumn="8"/>
        </ext>
      </extLst>
    </cacheHierarchy>
    <cacheHierarchy uniqueName="[Measures].[Count of Order Status]" caption="Count of Order Status" measure="1" displayFolder="" measureGroup="List_of_order"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10"/>
        </ext>
      </extLst>
    </cacheHierarchy>
  </cacheHierarchies>
  <kpis count="0"/>
  <dimensions count="3">
    <dimension name="List_of_order" uniqueName="[List_of_order]" caption="List_of_order"/>
    <dimension measure="1" name="Measures" uniqueName="[Measures]" caption="Measures"/>
    <dimension name="Order_Details" uniqueName="[Order_Details]" caption="Order_Details"/>
  </dimensions>
  <measureGroups count="2">
    <measureGroup name="List_of_order" caption="List_of_order"/>
    <measureGroup name="Order_Details" caption="Order_Detail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NKPAD" refreshedDate="46130.591149305554" backgroundQuery="1" createdVersion="8" refreshedVersion="8" minRefreshableVersion="3" recordCount="0" supportSubquery="1" supportAdvancedDrill="1" xr:uid="{3A4F4112-A07F-4490-B204-AFB51CEA8064}">
  <cacheSource type="external" connectionId="5"/>
  <cacheFields count="5">
    <cacheField name="[List_of_order].[State].[State]" caption="State" numFmtId="0" hierarchy="3" level="1">
      <sharedItems count="10">
        <s v="Bihar"/>
        <s v="Delhi"/>
        <s v="Gujarat"/>
        <s v="Karnataka"/>
        <s v="Madhya Pradesh"/>
        <s v="Maharashtra"/>
        <s v="Punjab"/>
        <s v="Rajasthan"/>
        <s v="Uttar Pradesh"/>
        <s v="West Bengal"/>
      </sharedItems>
    </cacheField>
    <cacheField name="[List_of_order].[City].[City]" caption="City" numFmtId="0" hierarchy="4" level="1">
      <sharedItems count="5">
        <s v="Bhopal"/>
        <s v="Delhi"/>
        <s v="Indore"/>
        <s v="Mumbai"/>
        <s v="Pune"/>
      </sharedItems>
    </cacheField>
    <cacheField name="[Measures].[Sum of Amount]" caption="Sum of Amount" numFmtId="0" hierarchy="33" level="32767"/>
    <cacheField name="[List_of_order].[Order Status].[Order Status]" caption="Order Status" numFmtId="0" hierarchy="6" level="1">
      <sharedItems containsSemiMixedTypes="0" containsNonDate="0" containsString="0"/>
    </cacheField>
    <cacheField name="[Order_Details].[Category].[Category]" caption="Category" numFmtId="0" hierarchy="11" level="1">
      <sharedItems containsSemiMixedTypes="0" containsNonDate="0" containsString="0"/>
    </cacheField>
  </cacheFields>
  <cacheHierarchies count="36">
    <cacheHierarchy uniqueName="[List_of_order].[Order ID]" caption="Order ID" attribute="1" defaultMemberUniqueName="[List_of_order].[Order ID].[All]" allUniqueName="[List_of_order].[Order ID].[All]" dimensionUniqueName="[List_of_order]" displayFolder="" count="0" memberValueDatatype="130" unbalanced="0"/>
    <cacheHierarchy uniqueName="[List_of_order].[Order Date]" caption="Order Date" attribute="1" time="1" defaultMemberUniqueName="[List_of_order].[Order Date].[All]" allUniqueName="[List_of_order].[Order Date].[All]" dimensionUniqueName="[List_of_order]" displayFolder="" count="0" memberValueDatatype="7" unbalanced="0"/>
    <cacheHierarchy uniqueName="[List_of_order].[CustomerName]" caption="CustomerName" attribute="1" defaultMemberUniqueName="[List_of_order].[CustomerName].[All]" allUniqueName="[List_of_order].[CustomerName].[All]" dimensionUniqueName="[List_of_order]" displayFolder="" count="0" memberValueDatatype="130" unbalanced="0"/>
    <cacheHierarchy uniqueName="[List_of_order].[State]" caption="State" attribute="1" defaultMemberUniqueName="[List_of_order].[State].[All]" allUniqueName="[List_of_order].[State].[All]" dimensionUniqueName="[List_of_order]" displayFolder="" count="2" memberValueDatatype="130" unbalanced="0">
      <fieldsUsage count="2">
        <fieldUsage x="-1"/>
        <fieldUsage x="0"/>
      </fieldsUsage>
    </cacheHierarchy>
    <cacheHierarchy uniqueName="[List_of_order].[City]" caption="City" attribute="1" defaultMemberUniqueName="[List_of_order].[City].[All]" allUniqueName="[List_of_order].[City].[All]" dimensionUniqueName="[List_of_order]" displayFolder="" count="2" memberValueDatatype="130" unbalanced="0">
      <fieldsUsage count="2">
        <fieldUsage x="-1"/>
        <fieldUsage x="1"/>
      </fieldsUsage>
    </cacheHierarchy>
    <cacheHierarchy uniqueName="[List_of_order].[Month Name]" caption="Month Name" attribute="1" defaultMemberUniqueName="[List_of_order].[Month Name].[All]" allUniqueName="[List_of_order].[Month Name].[All]" dimensionUniqueName="[List_of_order]" displayFolder="" count="0" memberValueDatatype="130" unbalanced="0"/>
    <cacheHierarchy uniqueName="[List_of_order].[Order Status]" caption="Order Status" attribute="1" defaultMemberUniqueName="[List_of_order].[Order Status].[All]" allUniqueName="[List_of_order].[Order Status].[All]" dimensionUniqueName="[List_of_order]" displayFolder="" count="2" memberValueDatatype="130" unbalanced="0">
      <fieldsUsage count="2">
        <fieldUsage x="-1"/>
        <fieldUsage x="3"/>
      </fieldsUsage>
    </cacheHierarchy>
    <cacheHierarchy uniqueName="[Order_Details].[Order ID]" caption="Order ID" attribute="1" defaultMemberUniqueName="[Order_Details].[Order ID].[All]" allUniqueName="[Order_Details].[Order ID].[All]" dimensionUniqueName="[Order_Details]" displayFolder="" count="0" memberValueDatatype="130" unbalanced="0"/>
    <cacheHierarchy uniqueName="[Order_Details].[Amount]" caption="Amount" attribute="1" defaultMemberUniqueName="[Order_Details].[Amount].[All]" allUniqueName="[Order_Details].[Amount].[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Category]" caption="Category" attribute="1" defaultMemberUniqueName="[Order_Details].[Category].[All]" allUniqueName="[Order_Details].[Category].[All]" dimensionUniqueName="[Order_Details]" displayFolder="" count="2" memberValueDatatype="130" unbalanced="0">
      <fieldsUsage count="2">
        <fieldUsage x="-1"/>
        <fieldUsage x="4"/>
      </fieldsUsage>
    </cacheHierarchy>
    <cacheHierarchy uniqueName="[Order_Details].[Sub-Category]" caption="Sub-Category" attribute="1" defaultMemberUniqueName="[Order_Details].[Sub-Category].[All]" allUniqueName="[Order_Details].[Sub-Category].[All]" dimensionUniqueName="[Order_Details]" displayFolder="" count="0" memberValueDatatype="130" unbalanced="0"/>
    <cacheHierarchy uniqueName="[List_of_order].[Order Date (Month Index)]" caption="Order Date (Month Index)" attribute="1" defaultMemberUniqueName="[List_of_order].[Order Date (Month Index)].[All]" allUniqueName="[List_of_order].[Order Date (Month Index)].[All]" dimensionUniqueName="[List_of_order]" displayFolder="" count="0" memberValueDatatype="20" unbalanced="0" hidden="1"/>
    <cacheHierarchy uniqueName="[List_of_order].[Order Date (Month)]" caption="Order Date (Month)" attribute="1" defaultMemberUniqueName="[List_of_order].[Order Date (Month)].[All]" allUniqueName="[List_of_order].[Order Date (Month)].[All]" dimensionUniqueName="[List_of_order]" displayFolder="" count="0" memberValueDatatype="130" unbalanced="0" hidden="1"/>
    <cacheHierarchy uniqueName="[List_of_order].[Order Date (Quarter)]" caption="Order Date (Quarter)" attribute="1" defaultMemberUniqueName="[List_of_order].[Order Date (Quarter)].[All]" allUniqueName="[List_of_order].[Order Date (Quarter)].[All]" dimensionUniqueName="[List_of_order]" displayFolder="" count="0" memberValueDatatype="130" unbalanced="0" hidden="1"/>
    <cacheHierarchy uniqueName="[List_of_order].[Order Date (Year)]" caption="Order Date (Year)" attribute="1" defaultMemberUniqueName="[List_of_order].[Order Date (Year)].[All]" allUniqueName="[List_of_order].[Order Date (Year)].[All]" dimensionUniqueName="[List_of_order]" displayFolder="" count="0" memberValueDatatype="130" unbalanced="0" hidden="1"/>
    <cacheHierarchy uniqueName="[Measures].[Total Sales]" caption="Total Sales" measure="1" displayFolder="" measureGroup="Order_Details" count="0"/>
    <cacheHierarchy uniqueName="[Measures].[Total Profit]" caption="Total Profit" measure="1" displayFolder="" measureGroup="Order_Details" count="0"/>
    <cacheHierarchy uniqueName="[Measures].[Total Quantity]" caption="Total Quantity" measure="1" displayFolder="" measureGroup="Order_Details" count="0"/>
    <cacheHierarchy uniqueName="[Measures].[Profit Margin %]" caption="Profit Margin %" measure="1" displayFolder="" measureGroup="Order_Details" count="0"/>
    <cacheHierarchy uniqueName="[Measures].[Total Orders]" caption="Total Orders" measure="1" displayFolder="" measureGroup="Order_Details" count="0"/>
    <cacheHierarchy uniqueName="[Measures].[Average Order Value]" caption="Average Order Value" measure="1" displayFolder="" measureGroup="Order_Details" count="0"/>
    <cacheHierarchy uniqueName="[Measures].[Average Quantity Per Order]" caption="Average Quantity Per Order" measure="1" displayFolder="" measureGroup="Order_Details" count="0"/>
    <cacheHierarchy uniqueName="[Measures].[Loss Orders]" caption="Loss Orders" measure="1" displayFolder="" measureGroup="Order_Details" count="0"/>
    <cacheHierarchy uniqueName="[Measures].[Profit Orders]" caption="Profit Orders" measure="1" displayFolder="" measureGroup="Order_Details" count="0"/>
    <cacheHierarchy uniqueName="[Measures].[__XL_Count List_of_order]" caption="__XL_Count List_of_order" measure="1" displayFolder="" measureGroup="List_of_order"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ofit]" caption="Sum of Profit" measure="1" displayFolder="" measureGroup="Order_Details" count="0" hidden="1">
      <extLst>
        <ext xmlns:x15="http://schemas.microsoft.com/office/spreadsheetml/2010/11/main" uri="{B97F6D7D-B522-45F9-BDA1-12C45D357490}">
          <x15:cacheHierarchy aggregatedColumn="9"/>
        </ext>
      </extLst>
    </cacheHierarchy>
    <cacheHierarchy uniqueName="[Measures].[Count of Profit]" caption="Count of Profit" measure="1" displayFolder="" measureGroup="Order_Details"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Order_Detail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List_of_order"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Order_Details"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Order Status]" caption="Count of Order Status" measure="1" displayFolder="" measureGroup="List_of_order"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10"/>
        </ext>
      </extLst>
    </cacheHierarchy>
  </cacheHierarchies>
  <kpis count="0"/>
  <dimensions count="3">
    <dimension name="List_of_order" uniqueName="[List_of_order]" caption="List_of_order"/>
    <dimension measure="1" name="Measures" uniqueName="[Measures]" caption="Measures"/>
    <dimension name="Order_Details" uniqueName="[Order_Details]" caption="Order_Details"/>
  </dimensions>
  <measureGroups count="2">
    <measureGroup name="List_of_order" caption="List_of_order"/>
    <measureGroup name="Order_Details" caption="Order_Detail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NKPAD" refreshedDate="46130.591149768516" backgroundQuery="1" createdVersion="8" refreshedVersion="8" minRefreshableVersion="3" recordCount="0" supportSubquery="1" supportAdvancedDrill="1" xr:uid="{22FD61C3-0A7C-4544-9051-BF8E6144539A}">
  <cacheSource type="external" connectionId="5"/>
  <cacheFields count="3">
    <cacheField name="[Measures].[Count of Order ID 2]" caption="Count of Order ID 2" numFmtId="0" hierarchy="32" level="32767"/>
    <cacheField name="[List_of_order].[Order Status].[Order Status]" caption="Order Status" numFmtId="0" hierarchy="6" level="1">
      <sharedItems count="2">
        <s v="Loss"/>
        <s v="Profit"/>
      </sharedItems>
    </cacheField>
    <cacheField name="[Order_Details].[Category].[Category]" caption="Category" numFmtId="0" hierarchy="11" level="1">
      <sharedItems containsSemiMixedTypes="0" containsNonDate="0" containsString="0"/>
    </cacheField>
  </cacheFields>
  <cacheHierarchies count="36">
    <cacheHierarchy uniqueName="[List_of_order].[Order ID]" caption="Order ID" attribute="1" defaultMemberUniqueName="[List_of_order].[Order ID].[All]" allUniqueName="[List_of_order].[Order ID].[All]" dimensionUniqueName="[List_of_order]" displayFolder="" count="0" memberValueDatatype="130" unbalanced="0"/>
    <cacheHierarchy uniqueName="[List_of_order].[Order Date]" caption="Order Date" attribute="1" time="1" defaultMemberUniqueName="[List_of_order].[Order Date].[All]" allUniqueName="[List_of_order].[Order Date].[All]" dimensionUniqueName="[List_of_order]" displayFolder="" count="0" memberValueDatatype="7" unbalanced="0"/>
    <cacheHierarchy uniqueName="[List_of_order].[CustomerName]" caption="CustomerName" attribute="1" defaultMemberUniqueName="[List_of_order].[CustomerName].[All]" allUniqueName="[List_of_order].[CustomerName].[All]" dimensionUniqueName="[List_of_order]" displayFolder="" count="0" memberValueDatatype="130" unbalanced="0"/>
    <cacheHierarchy uniqueName="[List_of_order].[State]" caption="State" attribute="1" defaultMemberUniqueName="[List_of_order].[State].[All]" allUniqueName="[List_of_order].[State].[All]" dimensionUniqueName="[List_of_order]" displayFolder="" count="0" memberValueDatatype="130" unbalanced="0"/>
    <cacheHierarchy uniqueName="[List_of_order].[City]" caption="City" attribute="1" defaultMemberUniqueName="[List_of_order].[City].[All]" allUniqueName="[List_of_order].[City].[All]" dimensionUniqueName="[List_of_order]" displayFolder="" count="0" memberValueDatatype="130" unbalanced="0"/>
    <cacheHierarchy uniqueName="[List_of_order].[Month Name]" caption="Month Name" attribute="1" defaultMemberUniqueName="[List_of_order].[Month Name].[All]" allUniqueName="[List_of_order].[Month Name].[All]" dimensionUniqueName="[List_of_order]" displayFolder="" count="0" memberValueDatatype="130" unbalanced="0"/>
    <cacheHierarchy uniqueName="[List_of_order].[Order Status]" caption="Order Status" attribute="1" defaultMemberUniqueName="[List_of_order].[Order Status].[All]" allUniqueName="[List_of_order].[Order Status].[All]" dimensionUniqueName="[List_of_order]" displayFolder="" count="2" memberValueDatatype="130" unbalanced="0">
      <fieldsUsage count="2">
        <fieldUsage x="-1"/>
        <fieldUsage x="1"/>
      </fieldsUsage>
    </cacheHierarchy>
    <cacheHierarchy uniqueName="[Order_Details].[Order ID]" caption="Order ID" attribute="1" defaultMemberUniqueName="[Order_Details].[Order ID].[All]" allUniqueName="[Order_Details].[Order ID].[All]" dimensionUniqueName="[Order_Details]" displayFolder="" count="0" memberValueDatatype="130" unbalanced="0"/>
    <cacheHierarchy uniqueName="[Order_Details].[Amount]" caption="Amount" attribute="1" defaultMemberUniqueName="[Order_Details].[Amount].[All]" allUniqueName="[Order_Details].[Amount].[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Category]" caption="Category" attribute="1" defaultMemberUniqueName="[Order_Details].[Category].[All]" allUniqueName="[Order_Details].[Category].[All]" dimensionUniqueName="[Order_Details]" displayFolder="" count="2" memberValueDatatype="130" unbalanced="0">
      <fieldsUsage count="2">
        <fieldUsage x="-1"/>
        <fieldUsage x="2"/>
      </fieldsUsage>
    </cacheHierarchy>
    <cacheHierarchy uniqueName="[Order_Details].[Sub-Category]" caption="Sub-Category" attribute="1" defaultMemberUniqueName="[Order_Details].[Sub-Category].[All]" allUniqueName="[Order_Details].[Sub-Category].[All]" dimensionUniqueName="[Order_Details]" displayFolder="" count="0" memberValueDatatype="130" unbalanced="0"/>
    <cacheHierarchy uniqueName="[List_of_order].[Order Date (Month Index)]" caption="Order Date (Month Index)" attribute="1" defaultMemberUniqueName="[List_of_order].[Order Date (Month Index)].[All]" allUniqueName="[List_of_order].[Order Date (Month Index)].[All]" dimensionUniqueName="[List_of_order]" displayFolder="" count="0" memberValueDatatype="20" unbalanced="0" hidden="1"/>
    <cacheHierarchy uniqueName="[List_of_order].[Order Date (Month)]" caption="Order Date (Month)" attribute="1" defaultMemberUniqueName="[List_of_order].[Order Date (Month)].[All]" allUniqueName="[List_of_order].[Order Date (Month)].[All]" dimensionUniqueName="[List_of_order]" displayFolder="" count="0" memberValueDatatype="130" unbalanced="0" hidden="1"/>
    <cacheHierarchy uniqueName="[List_of_order].[Order Date (Quarter)]" caption="Order Date (Quarter)" attribute="1" defaultMemberUniqueName="[List_of_order].[Order Date (Quarter)].[All]" allUniqueName="[List_of_order].[Order Date (Quarter)].[All]" dimensionUniqueName="[List_of_order]" displayFolder="" count="0" memberValueDatatype="130" unbalanced="0" hidden="1"/>
    <cacheHierarchy uniqueName="[List_of_order].[Order Date (Year)]" caption="Order Date (Year)" attribute="1" defaultMemberUniqueName="[List_of_order].[Order Date (Year)].[All]" allUniqueName="[List_of_order].[Order Date (Year)].[All]" dimensionUniqueName="[List_of_order]" displayFolder="" count="0" memberValueDatatype="130" unbalanced="0" hidden="1"/>
    <cacheHierarchy uniqueName="[Measures].[Total Sales]" caption="Total Sales" measure="1" displayFolder="" measureGroup="Order_Details" count="0"/>
    <cacheHierarchy uniqueName="[Measures].[Total Profit]" caption="Total Profit" measure="1" displayFolder="" measureGroup="Order_Details" count="0"/>
    <cacheHierarchy uniqueName="[Measures].[Total Quantity]" caption="Total Quantity" measure="1" displayFolder="" measureGroup="Order_Details" count="0"/>
    <cacheHierarchy uniqueName="[Measures].[Profit Margin %]" caption="Profit Margin %" measure="1" displayFolder="" measureGroup="Order_Details" count="0"/>
    <cacheHierarchy uniqueName="[Measures].[Total Orders]" caption="Total Orders" measure="1" displayFolder="" measureGroup="Order_Details" count="0"/>
    <cacheHierarchy uniqueName="[Measures].[Average Order Value]" caption="Average Order Value" measure="1" displayFolder="" measureGroup="Order_Details" count="0"/>
    <cacheHierarchy uniqueName="[Measures].[Average Quantity Per Order]" caption="Average Quantity Per Order" measure="1" displayFolder="" measureGroup="Order_Details" count="0"/>
    <cacheHierarchy uniqueName="[Measures].[Loss Orders]" caption="Loss Orders" measure="1" displayFolder="" measureGroup="Order_Details" count="0"/>
    <cacheHierarchy uniqueName="[Measures].[Profit Orders]" caption="Profit Orders" measure="1" displayFolder="" measureGroup="Order_Details" count="0"/>
    <cacheHierarchy uniqueName="[Measures].[__XL_Count List_of_order]" caption="__XL_Count List_of_order" measure="1" displayFolder="" measureGroup="List_of_order"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ofit]" caption="Sum of Profit" measure="1" displayFolder="" measureGroup="Order_Details" count="0" hidden="1">
      <extLst>
        <ext xmlns:x15="http://schemas.microsoft.com/office/spreadsheetml/2010/11/main" uri="{B97F6D7D-B522-45F9-BDA1-12C45D357490}">
          <x15:cacheHierarchy aggregatedColumn="9"/>
        </ext>
      </extLst>
    </cacheHierarchy>
    <cacheHierarchy uniqueName="[Measures].[Count of Profit]" caption="Count of Profit" measure="1" displayFolder="" measureGroup="Order_Details"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Order_Detail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List_of_order"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mount]" caption="Sum of Amount" measure="1" displayFolder="" measureGroup="Order_Details" count="0" hidden="1">
      <extLst>
        <ext xmlns:x15="http://schemas.microsoft.com/office/spreadsheetml/2010/11/main" uri="{B97F6D7D-B522-45F9-BDA1-12C45D357490}">
          <x15:cacheHierarchy aggregatedColumn="8"/>
        </ext>
      </extLst>
    </cacheHierarchy>
    <cacheHierarchy uniqueName="[Measures].[Count of Order Status]" caption="Count of Order Status" measure="1" displayFolder="" measureGroup="List_of_order"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10"/>
        </ext>
      </extLst>
    </cacheHierarchy>
  </cacheHierarchies>
  <kpis count="0"/>
  <dimensions count="3">
    <dimension name="List_of_order" uniqueName="[List_of_order]" caption="List_of_order"/>
    <dimension measure="1" name="Measures" uniqueName="[Measures]" caption="Measures"/>
    <dimension name="Order_Details" uniqueName="[Order_Details]" caption="Order_Details"/>
  </dimensions>
  <measureGroups count="2">
    <measureGroup name="List_of_order" caption="List_of_order"/>
    <measureGroup name="Order_Details" caption="Order_Detail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NKPAD" refreshedDate="46130.591150347223" backgroundQuery="1" createdVersion="8" refreshedVersion="8" minRefreshableVersion="3" recordCount="0" supportSubquery="1" supportAdvancedDrill="1" xr:uid="{DECAF3BC-4F59-4BF3-A3E7-30C06879748E}">
  <cacheSource type="external" connectionId="5"/>
  <cacheFields count="4">
    <cacheField name="[Measures].[Sum of Amount]" caption="Sum of Amount" numFmtId="0" hierarchy="33" level="32767"/>
    <cacheField name="[List_of_order].[State].[State]" caption="State" numFmtId="0" hierarchy="3" level="1">
      <sharedItems count="19">
        <s v="Andhra Pradesh"/>
        <s v="Bihar"/>
        <s v="Delhi"/>
        <s v="Goa"/>
        <s v="Gujarat"/>
        <s v="Haryana"/>
        <s v="Himachal Pradesh"/>
        <s v="Jammu and Kashmir"/>
        <s v="Karnataka"/>
        <s v="Kerala"/>
        <s v="Madhya Pradesh"/>
        <s v="Maharashtra"/>
        <s v="Nagaland"/>
        <s v="Punjab"/>
        <s v="Rajasthan"/>
        <s v="Sikkim"/>
        <s v="Tamil Nadu"/>
        <s v="Uttar Pradesh"/>
        <s v="West Bengal"/>
      </sharedItems>
    </cacheField>
    <cacheField name="[List_of_order].[Order Status].[Order Status]" caption="Order Status" numFmtId="0" hierarchy="6" level="1">
      <sharedItems containsSemiMixedTypes="0" containsNonDate="0" containsString="0"/>
    </cacheField>
    <cacheField name="[Order_Details].[Category].[Category]" caption="Category" numFmtId="0" hierarchy="11" level="1">
      <sharedItems containsSemiMixedTypes="0" containsNonDate="0" containsString="0"/>
    </cacheField>
  </cacheFields>
  <cacheHierarchies count="36">
    <cacheHierarchy uniqueName="[List_of_order].[Order ID]" caption="Order ID" attribute="1" defaultMemberUniqueName="[List_of_order].[Order ID].[All]" allUniqueName="[List_of_order].[Order ID].[All]" dimensionUniqueName="[List_of_order]" displayFolder="" count="0" memberValueDatatype="130" unbalanced="0"/>
    <cacheHierarchy uniqueName="[List_of_order].[Order Date]" caption="Order Date" attribute="1" time="1" defaultMemberUniqueName="[List_of_order].[Order Date].[All]" allUniqueName="[List_of_order].[Order Date].[All]" dimensionUniqueName="[List_of_order]" displayFolder="" count="0" memberValueDatatype="7" unbalanced="0"/>
    <cacheHierarchy uniqueName="[List_of_order].[CustomerName]" caption="CustomerName" attribute="1" defaultMemberUniqueName="[List_of_order].[CustomerName].[All]" allUniqueName="[List_of_order].[CustomerName].[All]" dimensionUniqueName="[List_of_order]" displayFolder="" count="0" memberValueDatatype="130" unbalanced="0"/>
    <cacheHierarchy uniqueName="[List_of_order].[State]" caption="State" attribute="1" defaultMemberUniqueName="[List_of_order].[State].[All]" allUniqueName="[List_of_order].[State].[All]" dimensionUniqueName="[List_of_order]" displayFolder="" count="2" memberValueDatatype="130" unbalanced="0">
      <fieldsUsage count="2">
        <fieldUsage x="-1"/>
        <fieldUsage x="1"/>
      </fieldsUsage>
    </cacheHierarchy>
    <cacheHierarchy uniqueName="[List_of_order].[City]" caption="City" attribute="1" defaultMemberUniqueName="[List_of_order].[City].[All]" allUniqueName="[List_of_order].[City].[All]" dimensionUniqueName="[List_of_order]" displayFolder="" count="0" memberValueDatatype="130" unbalanced="0"/>
    <cacheHierarchy uniqueName="[List_of_order].[Month Name]" caption="Month Name" attribute="1" defaultMemberUniqueName="[List_of_order].[Month Name].[All]" allUniqueName="[List_of_order].[Month Name].[All]" dimensionUniqueName="[List_of_order]" displayFolder="" count="0" memberValueDatatype="130" unbalanced="0"/>
    <cacheHierarchy uniqueName="[List_of_order].[Order Status]" caption="Order Status" attribute="1" defaultMemberUniqueName="[List_of_order].[Order Status].[All]" allUniqueName="[List_of_order].[Order Status].[All]" dimensionUniqueName="[List_of_order]" displayFolder="" count="2" memberValueDatatype="130" unbalanced="0">
      <fieldsUsage count="2">
        <fieldUsage x="-1"/>
        <fieldUsage x="2"/>
      </fieldsUsage>
    </cacheHierarchy>
    <cacheHierarchy uniqueName="[Order_Details].[Order ID]" caption="Order ID" attribute="1" defaultMemberUniqueName="[Order_Details].[Order ID].[All]" allUniqueName="[Order_Details].[Order ID].[All]" dimensionUniqueName="[Order_Details]" displayFolder="" count="0" memberValueDatatype="130" unbalanced="0"/>
    <cacheHierarchy uniqueName="[Order_Details].[Amount]" caption="Amount" attribute="1" defaultMemberUniqueName="[Order_Details].[Amount].[All]" allUniqueName="[Order_Details].[Amount].[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Category]" caption="Category" attribute="1" defaultMemberUniqueName="[Order_Details].[Category].[All]" allUniqueName="[Order_Details].[Category].[All]" dimensionUniqueName="[Order_Details]" displayFolder="" count="2" memberValueDatatype="130" unbalanced="0">
      <fieldsUsage count="2">
        <fieldUsage x="-1"/>
        <fieldUsage x="3"/>
      </fieldsUsage>
    </cacheHierarchy>
    <cacheHierarchy uniqueName="[Order_Details].[Sub-Category]" caption="Sub-Category" attribute="1" defaultMemberUniqueName="[Order_Details].[Sub-Category].[All]" allUniqueName="[Order_Details].[Sub-Category].[All]" dimensionUniqueName="[Order_Details]" displayFolder="" count="0" memberValueDatatype="130" unbalanced="0"/>
    <cacheHierarchy uniqueName="[List_of_order].[Order Date (Month Index)]" caption="Order Date (Month Index)" attribute="1" defaultMemberUniqueName="[List_of_order].[Order Date (Month Index)].[All]" allUniqueName="[List_of_order].[Order Date (Month Index)].[All]" dimensionUniqueName="[List_of_order]" displayFolder="" count="0" memberValueDatatype="20" unbalanced="0" hidden="1"/>
    <cacheHierarchy uniqueName="[List_of_order].[Order Date (Month)]" caption="Order Date (Month)" attribute="1" defaultMemberUniqueName="[List_of_order].[Order Date (Month)].[All]" allUniqueName="[List_of_order].[Order Date (Month)].[All]" dimensionUniqueName="[List_of_order]" displayFolder="" count="0" memberValueDatatype="130" unbalanced="0" hidden="1"/>
    <cacheHierarchy uniqueName="[List_of_order].[Order Date (Quarter)]" caption="Order Date (Quarter)" attribute="1" defaultMemberUniqueName="[List_of_order].[Order Date (Quarter)].[All]" allUniqueName="[List_of_order].[Order Date (Quarter)].[All]" dimensionUniqueName="[List_of_order]" displayFolder="" count="0" memberValueDatatype="130" unbalanced="0" hidden="1"/>
    <cacheHierarchy uniqueName="[List_of_order].[Order Date (Year)]" caption="Order Date (Year)" attribute="1" defaultMemberUniqueName="[List_of_order].[Order Date (Year)].[All]" allUniqueName="[List_of_order].[Order Date (Year)].[All]" dimensionUniqueName="[List_of_order]" displayFolder="" count="0" memberValueDatatype="130" unbalanced="0" hidden="1"/>
    <cacheHierarchy uniqueName="[Measures].[Total Sales]" caption="Total Sales" measure="1" displayFolder="" measureGroup="Order_Details" count="0"/>
    <cacheHierarchy uniqueName="[Measures].[Total Profit]" caption="Total Profit" measure="1" displayFolder="" measureGroup="Order_Details" count="0"/>
    <cacheHierarchy uniqueName="[Measures].[Total Quantity]" caption="Total Quantity" measure="1" displayFolder="" measureGroup="Order_Details" count="0"/>
    <cacheHierarchy uniqueName="[Measures].[Profit Margin %]" caption="Profit Margin %" measure="1" displayFolder="" measureGroup="Order_Details" count="0"/>
    <cacheHierarchy uniqueName="[Measures].[Total Orders]" caption="Total Orders" measure="1" displayFolder="" measureGroup="Order_Details" count="0"/>
    <cacheHierarchy uniqueName="[Measures].[Average Order Value]" caption="Average Order Value" measure="1" displayFolder="" measureGroup="Order_Details" count="0"/>
    <cacheHierarchy uniqueName="[Measures].[Average Quantity Per Order]" caption="Average Quantity Per Order" measure="1" displayFolder="" measureGroup="Order_Details" count="0"/>
    <cacheHierarchy uniqueName="[Measures].[Loss Orders]" caption="Loss Orders" measure="1" displayFolder="" measureGroup="Order_Details" count="0"/>
    <cacheHierarchy uniqueName="[Measures].[Profit Orders]" caption="Profit Orders" measure="1" displayFolder="" measureGroup="Order_Details" count="0"/>
    <cacheHierarchy uniqueName="[Measures].[__XL_Count List_of_order]" caption="__XL_Count List_of_order" measure="1" displayFolder="" measureGroup="List_of_order"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ofit]" caption="Sum of Profit" measure="1" displayFolder="" measureGroup="Order_Details" count="0" hidden="1">
      <extLst>
        <ext xmlns:x15="http://schemas.microsoft.com/office/spreadsheetml/2010/11/main" uri="{B97F6D7D-B522-45F9-BDA1-12C45D357490}">
          <x15:cacheHierarchy aggregatedColumn="9"/>
        </ext>
      </extLst>
    </cacheHierarchy>
    <cacheHierarchy uniqueName="[Measures].[Count of Profit]" caption="Count of Profit" measure="1" displayFolder="" measureGroup="Order_Details"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Order_Detail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List_of_order"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Order_Details"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Order Status]" caption="Count of Order Status" measure="1" displayFolder="" measureGroup="List_of_order"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10"/>
        </ext>
      </extLst>
    </cacheHierarchy>
  </cacheHierarchies>
  <kpis count="0"/>
  <dimensions count="3">
    <dimension name="List_of_order" uniqueName="[List_of_order]" caption="List_of_order"/>
    <dimension measure="1" name="Measures" uniqueName="[Measures]" caption="Measures"/>
    <dimension name="Order_Details" uniqueName="[Order_Details]" caption="Order_Details"/>
  </dimensions>
  <measureGroups count="2">
    <measureGroup name="List_of_order" caption="List_of_order"/>
    <measureGroup name="Order_Details" caption="Order_Detail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NKPAD" refreshedDate="46130.591150925924" backgroundQuery="1" createdVersion="8" refreshedVersion="8" minRefreshableVersion="3" recordCount="0" supportSubquery="1" supportAdvancedDrill="1" xr:uid="{77058616-7EA5-4FE8-B828-56A6EBC16690}">
  <cacheSource type="external" connectionId="5"/>
  <cacheFields count="10">
    <cacheField name="[Measures].[Total Sales]" caption="Total Sales" numFmtId="0" hierarchy="17" level="32767"/>
    <cacheField name="[Measures].[Total Profit]" caption="Total Profit" numFmtId="0" hierarchy="18" level="32767"/>
    <cacheField name="[Measures].[Total Quantity]" caption="Total Quantity" numFmtId="0" hierarchy="19" level="32767"/>
    <cacheField name="[Measures].[Profit Margin %]" caption="Profit Margin %" numFmtId="0" hierarchy="20" level="32767"/>
    <cacheField name="[Measures].[Total Orders]" caption="Total Orders" numFmtId="0" hierarchy="21" level="32767"/>
    <cacheField name="[Measures].[Average Order Value]" caption="Average Order Value" numFmtId="0" hierarchy="22" level="32767"/>
    <cacheField name="[Measures].[Average Quantity Per Order]" caption="Average Quantity Per Order" numFmtId="0" hierarchy="23" level="32767"/>
    <cacheField name="[Measures].[Loss Orders]" caption="Loss Orders" numFmtId="0" hierarchy="24" level="32767"/>
    <cacheField name="[Measures].[Profit Orders]" caption="Profit Orders" numFmtId="0" hierarchy="25" level="32767"/>
    <cacheField name="[Order_Details].[Category].[Category]" caption="Category" numFmtId="0" hierarchy="11" level="1">
      <sharedItems containsSemiMixedTypes="0" containsNonDate="0" containsString="0"/>
    </cacheField>
  </cacheFields>
  <cacheHierarchies count="36">
    <cacheHierarchy uniqueName="[List_of_order].[Order ID]" caption="Order ID" attribute="1" defaultMemberUniqueName="[List_of_order].[Order ID].[All]" allUniqueName="[List_of_order].[Order ID].[All]" dimensionUniqueName="[List_of_order]" displayFolder="" count="0" memberValueDatatype="130" unbalanced="0"/>
    <cacheHierarchy uniqueName="[List_of_order].[Order Date]" caption="Order Date" attribute="1" time="1" defaultMemberUniqueName="[List_of_order].[Order Date].[All]" allUniqueName="[List_of_order].[Order Date].[All]" dimensionUniqueName="[List_of_order]" displayFolder="" count="0" memberValueDatatype="7" unbalanced="0"/>
    <cacheHierarchy uniqueName="[List_of_order].[CustomerName]" caption="CustomerName" attribute="1" defaultMemberUniqueName="[List_of_order].[CustomerName].[All]" allUniqueName="[List_of_order].[CustomerName].[All]" dimensionUniqueName="[List_of_order]" displayFolder="" count="0" memberValueDatatype="130" unbalanced="0"/>
    <cacheHierarchy uniqueName="[List_of_order].[State]" caption="State" attribute="1" defaultMemberUniqueName="[List_of_order].[State].[All]" allUniqueName="[List_of_order].[State].[All]" dimensionUniqueName="[List_of_order]" displayFolder="" count="0" memberValueDatatype="130" unbalanced="0"/>
    <cacheHierarchy uniqueName="[List_of_order].[City]" caption="City" attribute="1" defaultMemberUniqueName="[List_of_order].[City].[All]" allUniqueName="[List_of_order].[City].[All]" dimensionUniqueName="[List_of_order]" displayFolder="" count="0" memberValueDatatype="130" unbalanced="0"/>
    <cacheHierarchy uniqueName="[List_of_order].[Month Name]" caption="Month Name" attribute="1" defaultMemberUniqueName="[List_of_order].[Month Name].[All]" allUniqueName="[List_of_order].[Month Name].[All]" dimensionUniqueName="[List_of_order]" displayFolder="" count="0" memberValueDatatype="130" unbalanced="0"/>
    <cacheHierarchy uniqueName="[List_of_order].[Order Status]" caption="Order Status" attribute="1" defaultMemberUniqueName="[List_of_order].[Order Status].[All]" allUniqueName="[List_of_order].[Order Status].[All]" dimensionUniqueName="[List_of_order]" displayFolder="" count="0" memberValueDatatype="130" unbalanced="0"/>
    <cacheHierarchy uniqueName="[Order_Details].[Order ID]" caption="Order ID" attribute="1" defaultMemberUniqueName="[Order_Details].[Order ID].[All]" allUniqueName="[Order_Details].[Order ID].[All]" dimensionUniqueName="[Order_Details]" displayFolder="" count="0" memberValueDatatype="130" unbalanced="0"/>
    <cacheHierarchy uniqueName="[Order_Details].[Amount]" caption="Amount" attribute="1" defaultMemberUniqueName="[Order_Details].[Amount].[All]" allUniqueName="[Order_Details].[Amount].[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Category]" caption="Category" attribute="1" defaultMemberUniqueName="[Order_Details].[Category].[All]" allUniqueName="[Order_Details].[Category].[All]" dimensionUniqueName="[Order_Details]" displayFolder="" count="2" memberValueDatatype="130" unbalanced="0">
      <fieldsUsage count="2">
        <fieldUsage x="-1"/>
        <fieldUsage x="9"/>
      </fieldsUsage>
    </cacheHierarchy>
    <cacheHierarchy uniqueName="[Order_Details].[Sub-Category]" caption="Sub-Category" attribute="1" defaultMemberUniqueName="[Order_Details].[Sub-Category].[All]" allUniqueName="[Order_Details].[Sub-Category].[All]" dimensionUniqueName="[Order_Details]" displayFolder="" count="0" memberValueDatatype="130" unbalanced="0"/>
    <cacheHierarchy uniqueName="[List_of_order].[Order Date (Month Index)]" caption="Order Date (Month Index)" attribute="1" defaultMemberUniqueName="[List_of_order].[Order Date (Month Index)].[All]" allUniqueName="[List_of_order].[Order Date (Month Index)].[All]" dimensionUniqueName="[List_of_order]" displayFolder="" count="0" memberValueDatatype="20" unbalanced="0" hidden="1"/>
    <cacheHierarchy uniqueName="[List_of_order].[Order Date (Month)]" caption="Order Date (Month)" attribute="1" defaultMemberUniqueName="[List_of_order].[Order Date (Month)].[All]" allUniqueName="[List_of_order].[Order Date (Month)].[All]" dimensionUniqueName="[List_of_order]" displayFolder="" count="0" memberValueDatatype="130" unbalanced="0" hidden="1"/>
    <cacheHierarchy uniqueName="[List_of_order].[Order Date (Quarter)]" caption="Order Date (Quarter)" attribute="1" defaultMemberUniqueName="[List_of_order].[Order Date (Quarter)].[All]" allUniqueName="[List_of_order].[Order Date (Quarter)].[All]" dimensionUniqueName="[List_of_order]" displayFolder="" count="0" memberValueDatatype="130" unbalanced="0" hidden="1"/>
    <cacheHierarchy uniqueName="[List_of_order].[Order Date (Year)]" caption="Order Date (Year)" attribute="1" defaultMemberUniqueName="[List_of_order].[Order Date (Year)].[All]" allUniqueName="[List_of_order].[Order Date (Year)].[All]" dimensionUniqueName="[List_of_order]" displayFolder="" count="0" memberValueDatatype="130" unbalanced="0" hidden="1"/>
    <cacheHierarchy uniqueName="[Measures].[Total Sales]" caption="Total Sales" measure="1" displayFolder="" measureGroup="Order_Details" count="0" oneField="1">
      <fieldsUsage count="1">
        <fieldUsage x="0"/>
      </fieldsUsage>
    </cacheHierarchy>
    <cacheHierarchy uniqueName="[Measures].[Total Profit]" caption="Total Profit" measure="1" displayFolder="" measureGroup="Order_Details" count="0" oneField="1">
      <fieldsUsage count="1">
        <fieldUsage x="1"/>
      </fieldsUsage>
    </cacheHierarchy>
    <cacheHierarchy uniqueName="[Measures].[Total Quantity]" caption="Total Quantity" measure="1" displayFolder="" measureGroup="Order_Details" count="0" oneField="1">
      <fieldsUsage count="1">
        <fieldUsage x="2"/>
      </fieldsUsage>
    </cacheHierarchy>
    <cacheHierarchy uniqueName="[Measures].[Profit Margin %]" caption="Profit Margin %" measure="1" displayFolder="" measureGroup="Order_Details" count="0" oneField="1">
      <fieldsUsage count="1">
        <fieldUsage x="3"/>
      </fieldsUsage>
    </cacheHierarchy>
    <cacheHierarchy uniqueName="[Measures].[Total Orders]" caption="Total Orders" measure="1" displayFolder="" measureGroup="Order_Details" count="0" oneField="1">
      <fieldsUsage count="1">
        <fieldUsage x="4"/>
      </fieldsUsage>
    </cacheHierarchy>
    <cacheHierarchy uniqueName="[Measures].[Average Order Value]" caption="Average Order Value" measure="1" displayFolder="" measureGroup="Order_Details" count="0" oneField="1">
      <fieldsUsage count="1">
        <fieldUsage x="5"/>
      </fieldsUsage>
    </cacheHierarchy>
    <cacheHierarchy uniqueName="[Measures].[Average Quantity Per Order]" caption="Average Quantity Per Order" measure="1" displayFolder="" measureGroup="Order_Details" count="0" oneField="1">
      <fieldsUsage count="1">
        <fieldUsage x="6"/>
      </fieldsUsage>
    </cacheHierarchy>
    <cacheHierarchy uniqueName="[Measures].[Loss Orders]" caption="Loss Orders" measure="1" displayFolder="" measureGroup="Order_Details" count="0" oneField="1">
      <fieldsUsage count="1">
        <fieldUsage x="7"/>
      </fieldsUsage>
    </cacheHierarchy>
    <cacheHierarchy uniqueName="[Measures].[Profit Orders]" caption="Profit Orders" measure="1" displayFolder="" measureGroup="Order_Details" count="0" oneField="1">
      <fieldsUsage count="1">
        <fieldUsage x="8"/>
      </fieldsUsage>
    </cacheHierarchy>
    <cacheHierarchy uniqueName="[Measures].[__XL_Count List_of_order]" caption="__XL_Count List_of_order" measure="1" displayFolder="" measureGroup="List_of_order"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ofit]" caption="Sum of Profit" measure="1" displayFolder="" measureGroup="Order_Details" count="0" hidden="1">
      <extLst>
        <ext xmlns:x15="http://schemas.microsoft.com/office/spreadsheetml/2010/11/main" uri="{B97F6D7D-B522-45F9-BDA1-12C45D357490}">
          <x15:cacheHierarchy aggregatedColumn="9"/>
        </ext>
      </extLst>
    </cacheHierarchy>
    <cacheHierarchy uniqueName="[Measures].[Count of Profit]" caption="Count of Profit" measure="1" displayFolder="" measureGroup="Order_Details"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Order_Detail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List_of_order"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Order_Details" count="0" hidden="1">
      <extLst>
        <ext xmlns:x15="http://schemas.microsoft.com/office/spreadsheetml/2010/11/main" uri="{B97F6D7D-B522-45F9-BDA1-12C45D357490}">
          <x15:cacheHierarchy aggregatedColumn="8"/>
        </ext>
      </extLst>
    </cacheHierarchy>
    <cacheHierarchy uniqueName="[Measures].[Count of Order Status]" caption="Count of Order Status" measure="1" displayFolder="" measureGroup="List_of_order"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10"/>
        </ext>
      </extLst>
    </cacheHierarchy>
  </cacheHierarchies>
  <kpis count="0"/>
  <dimensions count="3">
    <dimension name="List_of_order" uniqueName="[List_of_order]" caption="List_of_order"/>
    <dimension measure="1" name="Measures" uniqueName="[Measures]" caption="Measures"/>
    <dimension name="Order_Details" uniqueName="[Order_Details]" caption="Order_Details"/>
  </dimensions>
  <measureGroups count="2">
    <measureGroup name="List_of_order" caption="List_of_order"/>
    <measureGroup name="Order_Details" caption="Order_Detail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NKPAD" refreshedDate="46130.591151620371" backgroundQuery="1" createdVersion="8" refreshedVersion="8" minRefreshableVersion="3" recordCount="0" supportSubquery="1" supportAdvancedDrill="1" xr:uid="{25A53F52-7BC5-4492-92F5-557FF07F7274}">
  <cacheSource type="external" connectionId="5"/>
  <cacheFields count="4">
    <cacheField name="[List_of_order].[Order Status].[Order Status]" caption="Order Status" numFmtId="0" hierarchy="6" level="1">
      <sharedItems count="1">
        <s v="Loss"/>
      </sharedItems>
    </cacheField>
    <cacheField name="[List_of_order].[City].[City]" caption="City" numFmtId="0" hierarchy="4" level="1">
      <sharedItems count="24">
        <s v="Ahmedabad"/>
        <s v="Allahabad"/>
        <s v="Amritsar"/>
        <s v="Bangalore"/>
        <s v="Bhopal"/>
        <s v="Chandigarh"/>
        <s v="Chennai"/>
        <s v="Delhi"/>
        <s v="Gangtok"/>
        <s v="Goa"/>
        <s v="Hyderabad"/>
        <s v="Indore"/>
        <s v="Jaipur"/>
        <s v="Kashmir"/>
        <s v="Kohima"/>
        <s v="Kolkata"/>
        <s v="Lucknow"/>
        <s v="Mumbai"/>
        <s v="Patna"/>
        <s v="Pune"/>
        <s v="Simla"/>
        <s v="Surat"/>
        <s v="Thiruvananthapuram"/>
        <s v="Udaipur"/>
      </sharedItems>
    </cacheField>
    <cacheField name="[Measures].[Profit Margin %]" caption="Profit Margin %" numFmtId="0" hierarchy="20" level="32767"/>
    <cacheField name="[Order_Details].[Category].[Category]" caption="Category" numFmtId="0" hierarchy="11" level="1">
      <sharedItems containsSemiMixedTypes="0" containsNonDate="0" containsString="0"/>
    </cacheField>
  </cacheFields>
  <cacheHierarchies count="36">
    <cacheHierarchy uniqueName="[List_of_order].[Order ID]" caption="Order ID" attribute="1" defaultMemberUniqueName="[List_of_order].[Order ID].[All]" allUniqueName="[List_of_order].[Order ID].[All]" dimensionUniqueName="[List_of_order]" displayFolder="" count="2" memberValueDatatype="130" unbalanced="0"/>
    <cacheHierarchy uniqueName="[List_of_order].[Order Date]" caption="Order Date" attribute="1" time="1" defaultMemberUniqueName="[List_of_order].[Order Date].[All]" allUniqueName="[List_of_order].[Order Date].[All]" dimensionUniqueName="[List_of_order]" displayFolder="" count="2" memberValueDatatype="7" unbalanced="0"/>
    <cacheHierarchy uniqueName="[List_of_order].[CustomerName]" caption="CustomerName" attribute="1" defaultMemberUniqueName="[List_of_order].[CustomerName].[All]" allUniqueName="[List_of_order].[CustomerName].[All]" dimensionUniqueName="[List_of_order]" displayFolder="" count="2" memberValueDatatype="130" unbalanced="0"/>
    <cacheHierarchy uniqueName="[List_of_order].[State]" caption="State" attribute="1" defaultMemberUniqueName="[List_of_order].[State].[All]" allUniqueName="[List_of_order].[State].[All]" dimensionUniqueName="[List_of_order]" displayFolder="" count="2" memberValueDatatype="130" unbalanced="0"/>
    <cacheHierarchy uniqueName="[List_of_order].[City]" caption="City" attribute="1" defaultMemberUniqueName="[List_of_order].[City].[All]" allUniqueName="[List_of_order].[City].[All]" dimensionUniqueName="[List_of_order]" displayFolder="" count="2" memberValueDatatype="130" unbalanced="0">
      <fieldsUsage count="2">
        <fieldUsage x="-1"/>
        <fieldUsage x="1"/>
      </fieldsUsage>
    </cacheHierarchy>
    <cacheHierarchy uniqueName="[List_of_order].[Month Name]" caption="Month Name" attribute="1" defaultMemberUniqueName="[List_of_order].[Month Name].[All]" allUniqueName="[List_of_order].[Month Name].[All]" dimensionUniqueName="[List_of_order]" displayFolder="" count="2" memberValueDatatype="130" unbalanced="0"/>
    <cacheHierarchy uniqueName="[List_of_order].[Order Status]" caption="Order Status" attribute="1" defaultMemberUniqueName="[List_of_order].[Order Status].[All]" allUniqueName="[List_of_order].[Order Status].[All]" dimensionUniqueName="[List_of_order]" displayFolder="" count="2" memberValueDatatype="130" unbalanced="0">
      <fieldsUsage count="2">
        <fieldUsage x="-1"/>
        <fieldUsage x="0"/>
      </fieldsUsage>
    </cacheHierarchy>
    <cacheHierarchy uniqueName="[Order_Details].[Order ID]" caption="Order ID" attribute="1" defaultMemberUniqueName="[Order_Details].[Order ID].[All]" allUniqueName="[Order_Details].[Order ID].[All]" dimensionUniqueName="[Order_Details]" displayFolder="" count="2" memberValueDatatype="130" unbalanced="0"/>
    <cacheHierarchy uniqueName="[Order_Details].[Amount]" caption="Amount" attribute="1" defaultMemberUniqueName="[Order_Details].[Amount].[All]" allUniqueName="[Order_Details].[Amount].[All]" dimensionUniqueName="[Order_Details]" displayFolder="" count="2" memberValueDatatype="5" unbalanced="0"/>
    <cacheHierarchy uniqueName="[Order_Details].[Profit]" caption="Profit" attribute="1" defaultMemberUniqueName="[Order_Details].[Profit].[All]" allUniqueName="[Order_Details].[Profit].[All]" dimensionUniqueName="[Order_Details]" displayFolder="" count="2" memberValueDatatype="5" unbalanced="0"/>
    <cacheHierarchy uniqueName="[Order_Details].[Quantity]" caption="Quantity" attribute="1" defaultMemberUniqueName="[Order_Details].[Quantity].[All]" allUniqueName="[Order_Details].[Quantity].[All]" dimensionUniqueName="[Order_Details]" displayFolder="" count="2" memberValueDatatype="20" unbalanced="0"/>
    <cacheHierarchy uniqueName="[Order_Details].[Category]" caption="Category" attribute="1" defaultMemberUniqueName="[Order_Details].[Category].[All]" allUniqueName="[Order_Details].[Category].[All]" dimensionUniqueName="[Order_Details]" displayFolder="" count="2" memberValueDatatype="130" unbalanced="0">
      <fieldsUsage count="2">
        <fieldUsage x="-1"/>
        <fieldUsage x="3"/>
      </fieldsUsage>
    </cacheHierarchy>
    <cacheHierarchy uniqueName="[Order_Details].[Sub-Category]" caption="Sub-Category" attribute="1" defaultMemberUniqueName="[Order_Details].[Sub-Category].[All]" allUniqueName="[Order_Details].[Sub-Category].[All]" dimensionUniqueName="[Order_Details]" displayFolder="" count="2" memberValueDatatype="130" unbalanced="0"/>
    <cacheHierarchy uniqueName="[List_of_order].[Order Date (Month Index)]" caption="Order Date (Month Index)" attribute="1" defaultMemberUniqueName="[List_of_order].[Order Date (Month Index)].[All]" allUniqueName="[List_of_order].[Order Date (Month Index)].[All]" dimensionUniqueName="[List_of_order]" displayFolder="" count="2" memberValueDatatype="20" unbalanced="0" hidden="1"/>
    <cacheHierarchy uniqueName="[List_of_order].[Order Date (Month)]" caption="Order Date (Month)" attribute="1" defaultMemberUniqueName="[List_of_order].[Order Date (Month)].[All]" allUniqueName="[List_of_order].[Order Date (Month)].[All]" dimensionUniqueName="[List_of_order]" displayFolder="" count="2" memberValueDatatype="130" unbalanced="0" hidden="1"/>
    <cacheHierarchy uniqueName="[List_of_order].[Order Date (Quarter)]" caption="Order Date (Quarter)" attribute="1" defaultMemberUniqueName="[List_of_order].[Order Date (Quarter)].[All]" allUniqueName="[List_of_order].[Order Date (Quarter)].[All]" dimensionUniqueName="[List_of_order]" displayFolder="" count="2" memberValueDatatype="130" unbalanced="0" hidden="1"/>
    <cacheHierarchy uniqueName="[List_of_order].[Order Date (Year)]" caption="Order Date (Year)" attribute="1" defaultMemberUniqueName="[List_of_order].[Order Date (Year)].[All]" allUniqueName="[List_of_order].[Order Date (Year)].[All]" dimensionUniqueName="[List_of_order]" displayFolder="" count="2" memberValueDatatype="130" unbalanced="0" hidden="1"/>
    <cacheHierarchy uniqueName="[Measures].[Total Sales]" caption="Total Sales" measure="1" displayFolder="" measureGroup="Order_Details" count="0"/>
    <cacheHierarchy uniqueName="[Measures].[Total Profit]" caption="Total Profit" measure="1" displayFolder="" measureGroup="Order_Details" count="0"/>
    <cacheHierarchy uniqueName="[Measures].[Total Quantity]" caption="Total Quantity" measure="1" displayFolder="" measureGroup="Order_Details" count="0"/>
    <cacheHierarchy uniqueName="[Measures].[Profit Margin %]" caption="Profit Margin %" measure="1" displayFolder="" measureGroup="Order_Details" count="0" oneField="1">
      <fieldsUsage count="1">
        <fieldUsage x="2"/>
      </fieldsUsage>
    </cacheHierarchy>
    <cacheHierarchy uniqueName="[Measures].[Total Orders]" caption="Total Orders" measure="1" displayFolder="" measureGroup="Order_Details" count="0"/>
    <cacheHierarchy uniqueName="[Measures].[Average Order Value]" caption="Average Order Value" measure="1" displayFolder="" measureGroup="Order_Details" count="0"/>
    <cacheHierarchy uniqueName="[Measures].[Average Quantity Per Order]" caption="Average Quantity Per Order" measure="1" displayFolder="" measureGroup="Order_Details" count="0"/>
    <cacheHierarchy uniqueName="[Measures].[Loss Orders]" caption="Loss Orders" measure="1" displayFolder="" measureGroup="Order_Details" count="0"/>
    <cacheHierarchy uniqueName="[Measures].[Profit Orders]" caption="Profit Orders" measure="1" displayFolder="" measureGroup="Order_Details" count="0"/>
    <cacheHierarchy uniqueName="[Measures].[__XL_Count List_of_order]" caption="__XL_Count List_of_order" measure="1" displayFolder="" measureGroup="List_of_order"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ofit]" caption="Sum of Profit" measure="1" displayFolder="" measureGroup="Order_Details" count="0" hidden="1">
      <extLst>
        <ext xmlns:x15="http://schemas.microsoft.com/office/spreadsheetml/2010/11/main" uri="{B97F6D7D-B522-45F9-BDA1-12C45D357490}">
          <x15:cacheHierarchy aggregatedColumn="9"/>
        </ext>
      </extLst>
    </cacheHierarchy>
    <cacheHierarchy uniqueName="[Measures].[Count of Profit]" caption="Count of Profit" measure="1" displayFolder="" measureGroup="Order_Details"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Order_Detail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List_of_order"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Order_Details" count="0" hidden="1">
      <extLst>
        <ext xmlns:x15="http://schemas.microsoft.com/office/spreadsheetml/2010/11/main" uri="{B97F6D7D-B522-45F9-BDA1-12C45D357490}">
          <x15:cacheHierarchy aggregatedColumn="8"/>
        </ext>
      </extLst>
    </cacheHierarchy>
    <cacheHierarchy uniqueName="[Measures].[Count of Order Status]" caption="Count of Order Status" measure="1" displayFolder="" measureGroup="List_of_order"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10"/>
        </ext>
      </extLst>
    </cacheHierarchy>
  </cacheHierarchies>
  <kpis count="0"/>
  <dimensions count="3">
    <dimension name="List_of_order" uniqueName="[List_of_order]" caption="List_of_order"/>
    <dimension measure="1" name="Measures" uniqueName="[Measures]" caption="Measures"/>
    <dimension name="Order_Details" uniqueName="[Order_Details]" caption="Order_Details"/>
  </dimensions>
  <measureGroups count="2">
    <measureGroup name="List_of_order" caption="List_of_order"/>
    <measureGroup name="Order_Details" caption="Order_Detail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NKPAD" refreshedDate="46130.591147222221" backgroundQuery="1" createdVersion="8" refreshedVersion="8" minRefreshableVersion="3" recordCount="0" supportSubquery="1" supportAdvancedDrill="1" xr:uid="{B4920885-7BAC-49DB-B5D3-B713A0CF5BC9}">
  <cacheSource type="external" connectionId="5"/>
  <cacheFields count="5">
    <cacheField name="[Measures].[Total Sales]" caption="Total Sales" numFmtId="0" hierarchy="17" level="32767"/>
    <cacheField name="[List_of_order].[Order Date (Month)].[Order Date (Month)]" caption="Order Date (Month)" numFmtId="0" hierarchy="14" level="1">
      <sharedItems count="12">
        <s v="Jan"/>
        <s v="Feb"/>
        <s v="Mar"/>
        <s v="Apr"/>
        <s v="May"/>
        <s v="Jun"/>
        <s v="Jul"/>
        <s v="Aug"/>
        <s v="Sep"/>
        <s v="Oct"/>
        <s v="Nov"/>
        <s v="Dec"/>
      </sharedItems>
    </cacheField>
    <cacheField name="[Measures].[Total Quantity]" caption="Total Quantity" numFmtId="0" hierarchy="19" level="32767"/>
    <cacheField name="[List_of_order].[Order Status].[Order Status]" caption="Order Status" numFmtId="0" hierarchy="6" level="1">
      <sharedItems containsSemiMixedTypes="0" containsNonDate="0" containsString="0"/>
    </cacheField>
    <cacheField name="[Order_Details].[Category].[Category]" caption="Category" numFmtId="0" hierarchy="11" level="1">
      <sharedItems containsSemiMixedTypes="0" containsNonDate="0" containsString="0"/>
    </cacheField>
  </cacheFields>
  <cacheHierarchies count="36">
    <cacheHierarchy uniqueName="[List_of_order].[Order ID]" caption="Order ID" attribute="1" defaultMemberUniqueName="[List_of_order].[Order ID].[All]" allUniqueName="[List_of_order].[Order ID].[All]" dimensionUniqueName="[List_of_order]" displayFolder="" count="2" memberValueDatatype="130" unbalanced="0"/>
    <cacheHierarchy uniqueName="[List_of_order].[Order Date]" caption="Order Date" attribute="1" time="1" defaultMemberUniqueName="[List_of_order].[Order Date].[All]" allUniqueName="[List_of_order].[Order Date].[All]" dimensionUniqueName="[List_of_order]" displayFolder="" count="2" memberValueDatatype="7" unbalanced="0"/>
    <cacheHierarchy uniqueName="[List_of_order].[CustomerName]" caption="CustomerName" attribute="1" defaultMemberUniqueName="[List_of_order].[CustomerName].[All]" allUniqueName="[List_of_order].[CustomerName].[All]" dimensionUniqueName="[List_of_order]" displayFolder="" count="2" memberValueDatatype="130" unbalanced="0"/>
    <cacheHierarchy uniqueName="[List_of_order].[State]" caption="State" attribute="1" defaultMemberUniqueName="[List_of_order].[State].[All]" allUniqueName="[List_of_order].[State].[All]" dimensionUniqueName="[List_of_order]" displayFolder="" count="2" memberValueDatatype="130" unbalanced="0"/>
    <cacheHierarchy uniqueName="[List_of_order].[City]" caption="City" attribute="1" defaultMemberUniqueName="[List_of_order].[City].[All]" allUniqueName="[List_of_order].[City].[All]" dimensionUniqueName="[List_of_order]" displayFolder="" count="2" memberValueDatatype="130" unbalanced="0"/>
    <cacheHierarchy uniqueName="[List_of_order].[Month Name]" caption="Month Name" attribute="1" defaultMemberUniqueName="[List_of_order].[Month Name].[All]" allUniqueName="[List_of_order].[Month Name].[All]" dimensionUniqueName="[List_of_order]" displayFolder="" count="2" memberValueDatatype="130" unbalanced="0"/>
    <cacheHierarchy uniqueName="[List_of_order].[Order Status]" caption="Order Status" attribute="1" defaultMemberUniqueName="[List_of_order].[Order Status].[All]" allUniqueName="[List_of_order].[Order Status].[All]" dimensionUniqueName="[List_of_order]" displayFolder="" count="2" memberValueDatatype="130" unbalanced="0">
      <fieldsUsage count="2">
        <fieldUsage x="-1"/>
        <fieldUsage x="3"/>
      </fieldsUsage>
    </cacheHierarchy>
    <cacheHierarchy uniqueName="[Order_Details].[Order ID]" caption="Order ID" attribute="1" defaultMemberUniqueName="[Order_Details].[Order ID].[All]" allUniqueName="[Order_Details].[Order ID].[All]" dimensionUniqueName="[Order_Details]" displayFolder="" count="2" memberValueDatatype="130" unbalanced="0"/>
    <cacheHierarchy uniqueName="[Order_Details].[Amount]" caption="Amount" attribute="1" defaultMemberUniqueName="[Order_Details].[Amount].[All]" allUniqueName="[Order_Details].[Amount].[All]" dimensionUniqueName="[Order_Details]" displayFolder="" count="2" memberValueDatatype="5" unbalanced="0"/>
    <cacheHierarchy uniqueName="[Order_Details].[Profit]" caption="Profit" attribute="1" defaultMemberUniqueName="[Order_Details].[Profit].[All]" allUniqueName="[Order_Details].[Profit].[All]" dimensionUniqueName="[Order_Details]" displayFolder="" count="2" memberValueDatatype="5" unbalanced="0"/>
    <cacheHierarchy uniqueName="[Order_Details].[Quantity]" caption="Quantity" attribute="1" defaultMemberUniqueName="[Order_Details].[Quantity].[All]" allUniqueName="[Order_Details].[Quantity].[All]" dimensionUniqueName="[Order_Details]" displayFolder="" count="2" memberValueDatatype="20" unbalanced="0"/>
    <cacheHierarchy uniqueName="[Order_Details].[Category]" caption="Category" attribute="1" defaultMemberUniqueName="[Order_Details].[Category].[All]" allUniqueName="[Order_Details].[Category].[All]" dimensionUniqueName="[Order_Details]" displayFolder="" count="2" memberValueDatatype="130" unbalanced="0">
      <fieldsUsage count="2">
        <fieldUsage x="-1"/>
        <fieldUsage x="4"/>
      </fieldsUsage>
    </cacheHierarchy>
    <cacheHierarchy uniqueName="[Order_Details].[Sub-Category]" caption="Sub-Category" attribute="1" defaultMemberUniqueName="[Order_Details].[Sub-Category].[All]" allUniqueName="[Order_Details].[Sub-Category].[All]" dimensionUniqueName="[Order_Details]" displayFolder="" count="2" memberValueDatatype="130" unbalanced="0"/>
    <cacheHierarchy uniqueName="[List_of_order].[Order Date (Month Index)]" caption="Order Date (Month Index)" attribute="1" defaultMemberUniqueName="[List_of_order].[Order Date (Month Index)].[All]" allUniqueName="[List_of_order].[Order Date (Month Index)].[All]" dimensionUniqueName="[List_of_order]" displayFolder="" count="2" memberValueDatatype="20" unbalanced="0" hidden="1"/>
    <cacheHierarchy uniqueName="[List_of_order].[Order Date (Month)]" caption="Order Date (Month)" attribute="1" defaultMemberUniqueName="[List_of_order].[Order Date (Month)].[All]" allUniqueName="[List_of_order].[Order Date (Month)].[All]" dimensionUniqueName="[List_of_order]" displayFolder="" count="2" memberValueDatatype="130" unbalanced="0" hidden="1">
      <fieldsUsage count="2">
        <fieldUsage x="-1"/>
        <fieldUsage x="1"/>
      </fieldsUsage>
    </cacheHierarchy>
    <cacheHierarchy uniqueName="[List_of_order].[Order Date (Quarter)]" caption="Order Date (Quarter)" attribute="1" defaultMemberUniqueName="[List_of_order].[Order Date (Quarter)].[All]" allUniqueName="[List_of_order].[Order Date (Quarter)].[All]" dimensionUniqueName="[List_of_order]" displayFolder="" count="2" memberValueDatatype="130" unbalanced="0" hidden="1"/>
    <cacheHierarchy uniqueName="[List_of_order].[Order Date (Year)]" caption="Order Date (Year)" attribute="1" defaultMemberUniqueName="[List_of_order].[Order Date (Year)].[All]" allUniqueName="[List_of_order].[Order Date (Year)].[All]" dimensionUniqueName="[List_of_order]" displayFolder="" count="2" memberValueDatatype="130" unbalanced="0" hidden="1"/>
    <cacheHierarchy uniqueName="[Measures].[Total Sales]" caption="Total Sales" measure="1" displayFolder="" measureGroup="Order_Details" count="0" oneField="1">
      <fieldsUsage count="1">
        <fieldUsage x="0"/>
      </fieldsUsage>
    </cacheHierarchy>
    <cacheHierarchy uniqueName="[Measures].[Total Profit]" caption="Total Profit" measure="1" displayFolder="" measureGroup="Order_Details" count="0"/>
    <cacheHierarchy uniqueName="[Measures].[Total Quantity]" caption="Total Quantity" measure="1" displayFolder="" measureGroup="Order_Details" count="0" oneField="1">
      <fieldsUsage count="1">
        <fieldUsage x="2"/>
      </fieldsUsage>
    </cacheHierarchy>
    <cacheHierarchy uniqueName="[Measures].[Profit Margin %]" caption="Profit Margin %" measure="1" displayFolder="" measureGroup="Order_Details" count="0"/>
    <cacheHierarchy uniqueName="[Measures].[Total Orders]" caption="Total Orders" measure="1" displayFolder="" measureGroup="Order_Details" count="0"/>
    <cacheHierarchy uniqueName="[Measures].[Average Order Value]" caption="Average Order Value" measure="1" displayFolder="" measureGroup="Order_Details" count="0"/>
    <cacheHierarchy uniqueName="[Measures].[Average Quantity Per Order]" caption="Average Quantity Per Order" measure="1" displayFolder="" measureGroup="Order_Details" count="0"/>
    <cacheHierarchy uniqueName="[Measures].[Loss Orders]" caption="Loss Orders" measure="1" displayFolder="" measureGroup="Order_Details" count="0"/>
    <cacheHierarchy uniqueName="[Measures].[Profit Orders]" caption="Profit Orders" measure="1" displayFolder="" measureGroup="Order_Details" count="0"/>
    <cacheHierarchy uniqueName="[Measures].[__XL_Count List_of_order]" caption="__XL_Count List_of_order" measure="1" displayFolder="" measureGroup="List_of_order"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ofit]" caption="Sum of Profit" measure="1" displayFolder="" measureGroup="Order_Details" count="0" hidden="1">
      <extLst>
        <ext xmlns:x15="http://schemas.microsoft.com/office/spreadsheetml/2010/11/main" uri="{B97F6D7D-B522-45F9-BDA1-12C45D357490}">
          <x15:cacheHierarchy aggregatedColumn="9"/>
        </ext>
      </extLst>
    </cacheHierarchy>
    <cacheHierarchy uniqueName="[Measures].[Count of Profit]" caption="Count of Profit" measure="1" displayFolder="" measureGroup="Order_Details"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Order_Detail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List_of_order"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Order_Details" count="0" hidden="1">
      <extLst>
        <ext xmlns:x15="http://schemas.microsoft.com/office/spreadsheetml/2010/11/main" uri="{B97F6D7D-B522-45F9-BDA1-12C45D357490}">
          <x15:cacheHierarchy aggregatedColumn="8"/>
        </ext>
      </extLst>
    </cacheHierarchy>
    <cacheHierarchy uniqueName="[Measures].[Count of Order Status]" caption="Count of Order Status" measure="1" displayFolder="" measureGroup="List_of_order"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10"/>
        </ext>
      </extLst>
    </cacheHierarchy>
  </cacheHierarchies>
  <kpis count="0"/>
  <dimensions count="3">
    <dimension name="List_of_order" uniqueName="[List_of_order]" caption="List_of_order"/>
    <dimension measure="1" name="Measures" uniqueName="[Measures]" caption="Measures"/>
    <dimension name="Order_Details" uniqueName="[Order_Details]" caption="Order_Details"/>
  </dimensions>
  <measureGroups count="2">
    <measureGroup name="List_of_order" caption="List_of_order"/>
    <measureGroup name="Order_Details" caption="Order_Details"/>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INKPAD" refreshedDate="46130.482037731483" backgroundQuery="1" createdVersion="3" refreshedVersion="8" minRefreshableVersion="3" recordCount="0" supportSubquery="1" supportAdvancedDrill="1" xr:uid="{E687FA3A-22B8-401C-8685-3301C82A6B0B}">
  <cacheSource type="external" connectionId="5">
    <extLst>
      <ext xmlns:x14="http://schemas.microsoft.com/office/spreadsheetml/2009/9/main" uri="{F057638F-6D5F-4e77-A914-E7F072B9BCA8}">
        <x14:sourceConnection name="ThisWorkbookDataModel"/>
      </ext>
    </extLst>
  </cacheSource>
  <cacheFields count="0"/>
  <cacheHierarchies count="36">
    <cacheHierarchy uniqueName="[List_of_order].[Order ID]" caption="Order ID" attribute="1" defaultMemberUniqueName="[List_of_order].[Order ID].[All]" allUniqueName="[List_of_order].[Order ID].[All]" dimensionUniqueName="[List_of_order]" displayFolder="" count="0" memberValueDatatype="130" unbalanced="0"/>
    <cacheHierarchy uniqueName="[List_of_order].[Order Date]" caption="Order Date" attribute="1" time="1" defaultMemberUniqueName="[List_of_order].[Order Date].[All]" allUniqueName="[List_of_order].[Order Date].[All]" dimensionUniqueName="[List_of_order]" displayFolder="" count="0" memberValueDatatype="7" unbalanced="0"/>
    <cacheHierarchy uniqueName="[List_of_order].[CustomerName]" caption="CustomerName" attribute="1" defaultMemberUniqueName="[List_of_order].[CustomerName].[All]" allUniqueName="[List_of_order].[CustomerName].[All]" dimensionUniqueName="[List_of_order]" displayFolder="" count="0" memberValueDatatype="130" unbalanced="0"/>
    <cacheHierarchy uniqueName="[List_of_order].[State]" caption="State" attribute="1" defaultMemberUniqueName="[List_of_order].[State].[All]" allUniqueName="[List_of_order].[State].[All]" dimensionUniqueName="[List_of_order]" displayFolder="" count="0" memberValueDatatype="130" unbalanced="0"/>
    <cacheHierarchy uniqueName="[List_of_order].[City]" caption="City" attribute="1" defaultMemberUniqueName="[List_of_order].[City].[All]" allUniqueName="[List_of_order].[City].[All]" dimensionUniqueName="[List_of_order]" displayFolder="" count="0" memberValueDatatype="130" unbalanced="0"/>
    <cacheHierarchy uniqueName="[List_of_order].[Month Name]" caption="Month Name" attribute="1" defaultMemberUniqueName="[List_of_order].[Month Name].[All]" allUniqueName="[List_of_order].[Month Name].[All]" dimensionUniqueName="[List_of_order]" displayFolder="" count="0" memberValueDatatype="130" unbalanced="0"/>
    <cacheHierarchy uniqueName="[List_of_order].[Order Status]" caption="Order Status" attribute="1" defaultMemberUniqueName="[List_of_order].[Order Status].[All]" allUniqueName="[List_of_order].[Order Status].[All]" dimensionUniqueName="[List_of_order]" displayFolder="" count="2" memberValueDatatype="130" unbalanced="0"/>
    <cacheHierarchy uniqueName="[Order_Details].[Order ID]" caption="Order ID" attribute="1" defaultMemberUniqueName="[Order_Details].[Order ID].[All]" allUniqueName="[Order_Details].[Order ID].[All]" dimensionUniqueName="[Order_Details]" displayFolder="" count="0" memberValueDatatype="130" unbalanced="0"/>
    <cacheHierarchy uniqueName="[Order_Details].[Amount]" caption="Amount" attribute="1" defaultMemberUniqueName="[Order_Details].[Amount].[All]" allUniqueName="[Order_Details].[Amount].[All]" dimensionUniqueName="[Order_Details]" displayFolder="" count="0" memberValueDatatype="5" unbalanced="0"/>
    <cacheHierarchy uniqueName="[Order_Details].[Profit]" caption="Profit" attribute="1" defaultMemberUniqueName="[Order_Details].[Profit].[All]" allUniqueName="[Order_Details].[Profit].[All]" dimensionUniqueName="[Order_Details]" displayFolder="" count="0" memberValueDatatype="5" unbalanced="0"/>
    <cacheHierarchy uniqueName="[Order_Details].[Quantity]" caption="Quantity" attribute="1" defaultMemberUniqueName="[Order_Details].[Quantity].[All]" allUniqueName="[Order_Details].[Quantity].[All]" dimensionUniqueName="[Order_Details]" displayFolder="" count="0" memberValueDatatype="20" unbalanced="0"/>
    <cacheHierarchy uniqueName="[Order_Details].[Category]" caption="Category" attribute="1" defaultMemberUniqueName="[Order_Details].[Category].[All]" allUniqueName="[Order_Details].[Category].[All]" dimensionUniqueName="[Order_Details]" displayFolder="" count="2" memberValueDatatype="130" unbalanced="0"/>
    <cacheHierarchy uniqueName="[Order_Details].[Sub-Category]" caption="Sub-Category" attribute="1" defaultMemberUniqueName="[Order_Details].[Sub-Category].[All]" allUniqueName="[Order_Details].[Sub-Category].[All]" dimensionUniqueName="[Order_Details]" displayFolder="" count="0" memberValueDatatype="130" unbalanced="0"/>
    <cacheHierarchy uniqueName="[List_of_order].[Order Date (Month Index)]" caption="Order Date (Month Index)" attribute="1" defaultMemberUniqueName="[List_of_order].[Order Date (Month Index)].[All]" allUniqueName="[List_of_order].[Order Date (Month Index)].[All]" dimensionUniqueName="[List_of_order]" displayFolder="" count="0" memberValueDatatype="20" unbalanced="0" hidden="1"/>
    <cacheHierarchy uniqueName="[List_of_order].[Order Date (Month)]" caption="Order Date (Month)" attribute="1" defaultMemberUniqueName="[List_of_order].[Order Date (Month)].[All]" allUniqueName="[List_of_order].[Order Date (Month)].[All]" dimensionUniqueName="[List_of_order]" displayFolder="" count="0" memberValueDatatype="130" unbalanced="0" hidden="1"/>
    <cacheHierarchy uniqueName="[List_of_order].[Order Date (Quarter)]" caption="Order Date (Quarter)" attribute="1" defaultMemberUniqueName="[List_of_order].[Order Date (Quarter)].[All]" allUniqueName="[List_of_order].[Order Date (Quarter)].[All]" dimensionUniqueName="[List_of_order]" displayFolder="" count="0" memberValueDatatype="130" unbalanced="0" hidden="1"/>
    <cacheHierarchy uniqueName="[List_of_order].[Order Date (Year)]" caption="Order Date (Year)" attribute="1" defaultMemberUniqueName="[List_of_order].[Order Date (Year)].[All]" allUniqueName="[List_of_order].[Order Date (Year)].[All]" dimensionUniqueName="[List_of_order]" displayFolder="" count="0" memberValueDatatype="130" unbalanced="0" hidden="1"/>
    <cacheHierarchy uniqueName="[Measures].[Total Sales]" caption="Total Sales" measure="1" displayFolder="" measureGroup="Order_Details" count="0"/>
    <cacheHierarchy uniqueName="[Measures].[Total Profit]" caption="Total Profit" measure="1" displayFolder="" measureGroup="Order_Details" count="0"/>
    <cacheHierarchy uniqueName="[Measures].[Total Quantity]" caption="Total Quantity" measure="1" displayFolder="" measureGroup="Order_Details" count="0"/>
    <cacheHierarchy uniqueName="[Measures].[Profit Margin %]" caption="Profit Margin %" measure="1" displayFolder="" measureGroup="Order_Details" count="0"/>
    <cacheHierarchy uniqueName="[Measures].[Total Orders]" caption="Total Orders" measure="1" displayFolder="" measureGroup="Order_Details" count="0"/>
    <cacheHierarchy uniqueName="[Measures].[Average Order Value]" caption="Average Order Value" measure="1" displayFolder="" measureGroup="Order_Details" count="0"/>
    <cacheHierarchy uniqueName="[Measures].[Average Quantity Per Order]" caption="Average Quantity Per Order" measure="1" displayFolder="" measureGroup="Order_Details" count="0"/>
    <cacheHierarchy uniqueName="[Measures].[Loss Orders]" caption="Loss Orders" measure="1" displayFolder="" measureGroup="Order_Details" count="0"/>
    <cacheHierarchy uniqueName="[Measures].[Profit Orders]" caption="Profit Orders" measure="1" displayFolder="" measureGroup="Order_Details" count="0"/>
    <cacheHierarchy uniqueName="[Measures].[__XL_Count List_of_order]" caption="__XL_Count List_of_order" measure="1" displayFolder="" measureGroup="List_of_order"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Profit]" caption="Sum of Profit" measure="1" displayFolder="" measureGroup="Order_Details" count="0" hidden="1">
      <extLst>
        <ext xmlns:x15="http://schemas.microsoft.com/office/spreadsheetml/2010/11/main" uri="{B97F6D7D-B522-45F9-BDA1-12C45D357490}">
          <x15:cacheHierarchy aggregatedColumn="9"/>
        </ext>
      </extLst>
    </cacheHierarchy>
    <cacheHierarchy uniqueName="[Measures].[Count of Profit]" caption="Count of Profit" measure="1" displayFolder="" measureGroup="Order_Details" count="0" hidden="1">
      <extLst>
        <ext xmlns:x15="http://schemas.microsoft.com/office/spreadsheetml/2010/11/main" uri="{B97F6D7D-B522-45F9-BDA1-12C45D357490}">
          <x15:cacheHierarchy aggregatedColumn="9"/>
        </ext>
      </extLst>
    </cacheHierarchy>
    <cacheHierarchy uniqueName="[Measures].[Count of Order ID]" caption="Count of Order ID" measure="1" displayFolder="" measureGroup="Order_Details" count="0" hidden="1">
      <extLst>
        <ext xmlns:x15="http://schemas.microsoft.com/office/spreadsheetml/2010/11/main" uri="{B97F6D7D-B522-45F9-BDA1-12C45D357490}">
          <x15:cacheHierarchy aggregatedColumn="7"/>
        </ext>
      </extLst>
    </cacheHierarchy>
    <cacheHierarchy uniqueName="[Measures].[Count of Order ID 2]" caption="Count of Order ID 2" measure="1" displayFolder="" measureGroup="List_of_order"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Order_Details" count="0" hidden="1">
      <extLst>
        <ext xmlns:x15="http://schemas.microsoft.com/office/spreadsheetml/2010/11/main" uri="{B97F6D7D-B522-45F9-BDA1-12C45D357490}">
          <x15:cacheHierarchy aggregatedColumn="8"/>
        </ext>
      </extLst>
    </cacheHierarchy>
    <cacheHierarchy uniqueName="[Measures].[Count of Order Status]" caption="Count of Order Status" measure="1" displayFolder="" measureGroup="List_of_order" count="0" hidden="1">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_Detail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3391398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126CEE-288C-4393-860B-A2986F9A3A6D}" name="Sales share by Category" cacheId="3" applyNumberFormats="0" applyBorderFormats="0" applyFontFormats="0" applyPatternFormats="0" applyAlignmentFormats="0" applyWidthHeightFormats="1" dataCaption="Values" tag="8b77b7bd-a6d2-431d-a3b5-510fd8ac143f" updatedVersion="8" minRefreshableVersion="3" useAutoFormatting="1" subtotalHiddenItems="1" rowGrandTotals="0" colGrandTotals="0" itemPrintTitles="1" createdVersion="8" indent="0" outline="1" outlineData="1" multipleFieldFilters="0" chartFormat="16">
  <location ref="A98:B101"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3">
    <i>
      <x/>
    </i>
    <i>
      <x v="1"/>
    </i>
    <i>
      <x v="2"/>
    </i>
  </rowItems>
  <colItems count="1">
    <i/>
  </colItems>
  <dataFields count="1">
    <dataField fld="2" subtotal="count" showDataAs="percentOfTotal" baseField="0" baseItem="0" numFmtId="169"/>
  </dataFields>
  <formats count="2">
    <format dxfId="2">
      <pivotArea outline="0" fieldPosition="0">
        <references count="1">
          <reference field="4294967294" count="1">
            <x v="0"/>
          </reference>
        </references>
      </pivotArea>
    </format>
    <format dxfId="1">
      <pivotArea outline="0" collapsedLevelsAreSubtotals="1" fieldPosition="0"/>
    </format>
  </formats>
  <chartFormats count="4">
    <chartFormat chart="15" format="16" series="1">
      <pivotArea type="data" outline="0" fieldPosition="0">
        <references count="1">
          <reference field="4294967294" count="1" selected="0">
            <x v="0"/>
          </reference>
        </references>
      </pivotArea>
    </chartFormat>
    <chartFormat chart="15" format="17">
      <pivotArea type="data" outline="0" fieldPosition="0">
        <references count="2">
          <reference field="4294967294" count="1" selected="0">
            <x v="0"/>
          </reference>
          <reference field="1" count="1" selected="0">
            <x v="0"/>
          </reference>
        </references>
      </pivotArea>
    </chartFormat>
    <chartFormat chart="15" format="18">
      <pivotArea type="data" outline="0" fieldPosition="0">
        <references count="2">
          <reference field="4294967294" count="1" selected="0">
            <x v="0"/>
          </reference>
          <reference field="1" count="1" selected="0">
            <x v="1"/>
          </reference>
        </references>
      </pivotArea>
    </chartFormat>
    <chartFormat chart="15" format="19">
      <pivotArea type="data" outline="0" fieldPosition="0">
        <references count="2">
          <reference field="4294967294" count="1" selected="0">
            <x v="0"/>
          </reference>
          <reference field="1" count="1" selected="0">
            <x v="2"/>
          </reference>
        </references>
      </pivotArea>
    </chartFormat>
  </chartFormats>
  <pivotHierarchies count="36">
    <pivotHierarchy dragToData="1"/>
    <pivotHierarchy dragToData="1"/>
    <pivotHierarchy dragToData="1"/>
    <pivotHierarchy dragToData="1"/>
    <pivotHierarchy dragToData="1"/>
    <pivotHierarchy dragToData="1"/>
    <pivotHierarchy multipleItemSelectionAllowed="1" dragToData="1">
      <members count="1" level="1">
        <member name="[List_of_order].[Order Status].&amp;[Lo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1">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List_of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72184C-E0F0-444D-BF66-C6569A24BEE8}" name="Sales &amp; Quantity by Month" cacheId="4" applyNumberFormats="0" applyBorderFormats="0" applyFontFormats="0" applyPatternFormats="0" applyAlignmentFormats="0" applyWidthHeightFormats="1" dataCaption="Values" tag="4c2a0eb8-0418-4979-8991-5e312d1276f7" updatedVersion="8" minRefreshableVersion="3" useAutoFormatting="1" subtotalHiddenItems="1" rowGrandTotals="0" colGrandTotals="0" itemPrintTitles="1" createdVersion="8" indent="0" outline="1" outlineData="1" multipleFieldFilters="0" chartFormat="7">
  <location ref="A11:C23" firstHeaderRow="0" firstDataRow="1" firstDataCol="1"/>
  <pivotFields count="5">
    <pivotField dataField="1" subtotalTop="0" showAll="0" defaultSubtotal="0"/>
    <pivotField axis="axisRow" allDrilled="1" subtotalTop="0" showAll="0"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Fields count="1">
    <field x="-2"/>
  </colFields>
  <colItems count="2">
    <i>
      <x/>
    </i>
    <i i="1">
      <x v="1"/>
    </i>
  </colItems>
  <dataFields count="2">
    <dataField fld="0" subtotal="count" baseField="0" baseItem="0"/>
    <dataField fld="2" subtotal="count" baseField="0" baseItem="0"/>
  </dataFields>
  <formats count="1">
    <format dxfId="3">
      <pivotArea dataOnly="0" outline="0" fieldPosition="0">
        <references count="1">
          <reference field="4294967294" count="1">
            <x v="0"/>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multipleItemSelectionAllowed="1" dragToData="1">
      <members count="1" level="1">
        <member name="[List_of_order].[Order Status].&amp;[Loss]"/>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List_of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0EDE75-4BED-465B-A2A4-A8F34EC4D6EE}" name="PivotTable2" cacheId="12" applyNumberFormats="0" applyBorderFormats="0" applyFontFormats="0" applyPatternFormats="0" applyAlignmentFormats="0" applyWidthHeightFormats="1" dataCaption="Values" tag="4c2a0eb8-0418-4979-8991-5e312d1276f7" updatedVersion="8" minRefreshableVersion="3" useAutoFormatting="1" subtotalHiddenItems="1" rowGrandTotals="0" colGrandTotals="0" itemPrintTitles="1" createdVersion="8" indent="0" outline="1" outlineData="1" multipleFieldFilters="0" chartFormat="7">
  <location ref="G38:I50" firstHeaderRow="0" firstDataRow="1" firstDataCol="1"/>
  <pivotFields count="5">
    <pivotField dataField="1" subtotalTop="0" showAll="0" defaultSubtotal="0"/>
    <pivotField axis="axisRow" allDrilled="1" subtotalTop="0" showAll="0"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Fields count="1">
    <field x="-2"/>
  </colFields>
  <colItems count="2">
    <i>
      <x/>
    </i>
    <i i="1">
      <x v="1"/>
    </i>
  </colItems>
  <dataFields count="2">
    <dataField fld="0" subtotal="count" baseField="0" baseItem="0"/>
    <dataField fld="2" subtotal="count" baseField="0" baseItem="0"/>
  </dataFields>
  <formats count="1">
    <format dxfId="4">
      <pivotArea dataOnly="0" outline="0" fieldPosition="0">
        <references count="1">
          <reference field="4294967294" count="1">
            <x v="0"/>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multipleItemSelectionAllowed="1" dragToData="1">
      <members count="1" level="1">
        <member name="[List_of_order].[Order Status].&amp;[Loss]"/>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List_of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0D94B6-A59C-4A56-A56D-C55D56604CA6}" name="PivotTable1" cacheId="1" applyNumberFormats="0" applyBorderFormats="0" applyFontFormats="0" applyPatternFormats="0" applyAlignmentFormats="0" applyWidthHeightFormats="1" dataCaption="Values" tag="23bfe9d2-d4bf-4eee-be40-af2b772fe505" updatedVersion="8" minRefreshableVersion="3" useAutoFormatting="1" subtotalHiddenItems="1" itemPrintTitles="1" createdVersion="8" indent="0" outline="1" outlineData="1" multipleFieldFilters="0">
  <location ref="A3:I4"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9">
    <i>
      <x/>
    </i>
    <i i="1">
      <x v="1"/>
    </i>
    <i i="2">
      <x v="2"/>
    </i>
    <i i="3">
      <x v="3"/>
    </i>
    <i i="4">
      <x v="4"/>
    </i>
    <i i="5">
      <x v="5"/>
    </i>
    <i i="6">
      <x v="6"/>
    </i>
    <i i="7">
      <x v="7"/>
    </i>
    <i i="8">
      <x v="8"/>
    </i>
  </colItems>
  <dataFields count="9">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DC43F7-4F7E-4A1E-B7FE-18ED59571CBB}" name="sales by city" cacheId="7" applyNumberFormats="0" applyBorderFormats="0" applyFontFormats="0" applyPatternFormats="0" applyAlignmentFormats="0" applyWidthHeightFormats="1" dataCaption="Values" tag="38d196a5-acb6-4a74-b3b0-b93dd149718c" updatedVersion="8" minRefreshableVersion="3" useAutoFormatting="1" subtotalHiddenItems="1" rowGrandTotals="0" colGrandTotals="0" itemPrintTitles="1" createdVersion="8" indent="0" outline="1" outlineData="1" multipleFieldFilters="0" chartFormat="12">
  <location ref="A106:B111"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v="2"/>
    </i>
    <i>
      <x v="3"/>
    </i>
    <i>
      <x v="4"/>
    </i>
    <i>
      <x v="1"/>
    </i>
    <i>
      <x/>
    </i>
  </rowItems>
  <colItems count="1">
    <i/>
  </colItems>
  <dataFields count="1">
    <dataField name="Sum of Amount" fld="2" baseField="0" baseItem="0"/>
  </dataFields>
  <formats count="1">
    <format dxfId="5">
      <pivotArea outline="0" collapsedLevelsAreSubtotals="1" fieldPosition="0"/>
    </format>
  </formats>
  <pivotHierarchies count="36">
    <pivotHierarchy dragToData="1"/>
    <pivotHierarchy dragToData="1"/>
    <pivotHierarchy dragToData="1"/>
    <pivotHierarchy dragToData="1"/>
    <pivotHierarchy dragToData="1"/>
    <pivotHierarchy dragToData="1"/>
    <pivotHierarchy multipleItemSelectionAllowed="1" dragToData="1">
      <members count="1" level="1">
        <member name="[List_of_order].[Order Status].&amp;[Loss]"/>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31">
      <autoFilter ref="A1">
        <filterColumn colId="0">
          <top10 val="10" filterVal="10"/>
        </filterColumn>
      </autoFilter>
    </filter>
    <filter fld="1" type="count" id="2" iMeasureHier="33">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List_of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276574-59FE-4A5D-8F0D-4A08C4D0234A}" name="PivotTable4" cacheId="11" applyNumberFormats="0" applyBorderFormats="0" applyFontFormats="0" applyPatternFormats="0" applyAlignmentFormats="0" applyWidthHeightFormats="1" dataCaption="Values" tag="4c2a0eb8-0418-4979-8991-5e312d1276f7" updatedVersion="8" minRefreshableVersion="3" useAutoFormatting="1" subtotalHiddenItems="1" rowGrandTotals="0" colGrandTotals="0" itemPrintTitles="1" createdVersion="8" indent="0" outline="1" outlineData="1" multipleFieldFilters="0" chartFormat="5">
  <location ref="A127:B151" firstHeaderRow="1" firstDataRow="1" firstDataCol="1"/>
  <pivotFields count="4">
    <pivotField allDrilled="1" subtotalTop="0" showAll="0" dataSourceSort="1" defaultSubtotal="0" defaultAttributeDrillState="1">
      <items count="1">
        <item s="1" x="0"/>
      </items>
    </pivotField>
    <pivotField axis="axisRow"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24">
    <i>
      <x v="21"/>
    </i>
    <i>
      <x v="1"/>
    </i>
    <i>
      <x v="23"/>
    </i>
    <i>
      <x v="15"/>
    </i>
    <i>
      <x v="7"/>
    </i>
    <i>
      <x v="22"/>
    </i>
    <i>
      <x v="19"/>
    </i>
    <i>
      <x v="2"/>
    </i>
    <i>
      <x v="8"/>
    </i>
    <i>
      <x v="20"/>
    </i>
    <i>
      <x v="9"/>
    </i>
    <i>
      <x v="11"/>
    </i>
    <i>
      <x v="3"/>
    </i>
    <i>
      <x v="4"/>
    </i>
    <i>
      <x v="16"/>
    </i>
    <i>
      <x v="17"/>
    </i>
    <i>
      <x v="14"/>
    </i>
    <i>
      <x v="5"/>
    </i>
    <i>
      <x v="13"/>
    </i>
    <i>
      <x v="18"/>
    </i>
    <i>
      <x v="10"/>
    </i>
    <i>
      <x/>
    </i>
    <i>
      <x v="12"/>
    </i>
    <i>
      <x v="6"/>
    </i>
  </rowItems>
  <colItems count="1">
    <i/>
  </colItems>
  <dataFields count="1">
    <dataField fld="2" subtotal="count" baseField="0" baseItem="0"/>
  </dataFields>
  <pivotHierarchies count="3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List_of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F9999E-0737-42DD-9EA3-53E1F4830946}" name="PivotTable12" cacheId="0" applyNumberFormats="0" applyBorderFormats="0" applyFontFormats="0" applyPatternFormats="0" applyAlignmentFormats="0" applyWidthHeightFormats="1" dataCaption="Values" tag="5ea7d0b2-13ef-4e6c-abd4-ca4007c61ec7" updatedVersion="8" minRefreshableVersion="3" useAutoFormatting="1" subtotalHiddenItems="1" rowGrandTotals="0" colGrandTotals="0" itemPrintTitles="1" createdVersion="8" indent="0" outline="1" outlineData="1" multipleFieldFilters="0" chartFormat="16">
  <location ref="E98:F101"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3">
    <i>
      <x/>
    </i>
    <i>
      <x v="1"/>
    </i>
    <i>
      <x v="2"/>
    </i>
  </rowItems>
  <colItems count="1">
    <i/>
  </colItems>
  <dataFields count="1">
    <dataField fld="2"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1">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List_of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1ADD61-0AB7-46CF-9FA3-D356B0A572E0}" name="PivotTable15" cacheId="2" applyNumberFormats="0" applyBorderFormats="0" applyFontFormats="0" applyPatternFormats="0" applyAlignmentFormats="0" applyWidthHeightFormats="1" dataCaption="Values" tag="7313a4bf-8c35-4e59-92c7-797c83240472" updatedVersion="8" minRefreshableVersion="3" useAutoFormatting="1" subtotalHiddenItems="1" rowGrandTotals="0" colGrandTotals="0" itemPrintTitles="1" createdVersion="8" indent="0" outline="1" outlineData="1" multipleFieldFilters="0" chartFormat="17">
  <location ref="D118:E121"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2"/>
  </rowFields>
  <rowItems count="3">
    <i>
      <x/>
    </i>
    <i>
      <x v="1"/>
    </i>
    <i>
      <x v="2"/>
    </i>
  </rowItems>
  <colItems count="1">
    <i/>
  </colItems>
  <dataFields count="1">
    <dataField fld="3" subtotal="count" baseField="0" baseItem="0"/>
  </dataFields>
  <formats count="1">
    <format dxfId="6">
      <pivotArea outline="0" collapsedLevelsAreSubtotals="1" fieldPosition="0"/>
    </format>
  </formats>
  <chartFormats count="4">
    <chartFormat chart="15" format="3" series="1">
      <pivotArea type="data" outline="0" fieldPosition="0">
        <references count="1">
          <reference field="4294967294" count="1" selected="0">
            <x v="0"/>
          </reference>
        </references>
      </pivotArea>
    </chartFormat>
    <chartFormat chart="15" format="4">
      <pivotArea type="data" outline="0" fieldPosition="0">
        <references count="2">
          <reference field="4294967294" count="1" selected="0">
            <x v="0"/>
          </reference>
          <reference field="2" count="1" selected="0">
            <x v="0"/>
          </reference>
        </references>
      </pivotArea>
    </chartFormat>
    <chartFormat chart="15" format="5">
      <pivotArea type="data" outline="0" fieldPosition="0">
        <references count="2">
          <reference field="4294967294" count="1" selected="0">
            <x v="0"/>
          </reference>
          <reference field="2" count="1" selected="0">
            <x v="1"/>
          </reference>
        </references>
      </pivotArea>
    </chartFormat>
    <chartFormat chart="15" format="6">
      <pivotArea type="data" outline="0" fieldPosition="0">
        <references count="2">
          <reference field="4294967294" count="1" selected="0">
            <x v="0"/>
          </reference>
          <reference field="2" count="1" selected="0">
            <x v="2"/>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31">
      <autoFilter ref="A1">
        <filterColumn colId="0">
          <top10 val="10" filterVal="10"/>
        </filterColumn>
      </autoFilter>
    </filter>
    <filter fld="1" type="count" id="2" iMeasureHier="33">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List_of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62AA43-F084-4E4C-95CE-B4F546D0B831}" name="Profit Margin by State" cacheId="6" applyNumberFormats="0" applyBorderFormats="0" applyFontFormats="0" applyPatternFormats="0" applyAlignmentFormats="0" applyWidthHeightFormats="1" dataCaption="Values" tag="859520d1-1a31-485a-a729-ef0d4a5f776c" updatedVersion="8" minRefreshableVersion="3" useAutoFormatting="1" subtotalHiddenItems="1" rowGrandTotals="0" colGrandTotals="0" itemPrintTitles="1" createdVersion="8" indent="0" outline="1" outlineData="1" multipleFieldFilters="0" chartFormat="7">
  <location ref="A55:B74" firstHeaderRow="1" firstDataRow="1" firstDataCol="1"/>
  <pivotFields count="4">
    <pivotField axis="axisRow" allDrilled="1" subtotalTop="0" showAll="0" sortType="descending" defaultSubtotal="0" defaultAttributeDrillState="1">
      <items count="19">
        <item x="0"/>
        <item x="1"/>
        <item x="2"/>
        <item x="3"/>
        <item x="4"/>
        <item x="5"/>
        <item x="6"/>
        <item x="7"/>
        <item x="8"/>
        <item x="9"/>
        <item x="10"/>
        <item x="11"/>
        <item x="12"/>
        <item x="13"/>
        <item x="14"/>
        <item x="15"/>
        <item x="16"/>
        <item x="17"/>
        <item x="1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9">
    <i>
      <x v="18"/>
    </i>
    <i>
      <x v="5"/>
    </i>
    <i>
      <x v="17"/>
    </i>
    <i>
      <x v="9"/>
    </i>
    <i>
      <x v="2"/>
    </i>
    <i>
      <x v="15"/>
    </i>
    <i>
      <x v="6"/>
    </i>
    <i>
      <x v="11"/>
    </i>
    <i>
      <x v="14"/>
    </i>
    <i>
      <x v="3"/>
    </i>
    <i>
      <x v="10"/>
    </i>
    <i>
      <x v="8"/>
    </i>
    <i>
      <x v="4"/>
    </i>
    <i>
      <x v="12"/>
    </i>
    <i>
      <x v="7"/>
    </i>
    <i>
      <x v="1"/>
    </i>
    <i>
      <x v="13"/>
    </i>
    <i>
      <x/>
    </i>
    <i>
      <x v="16"/>
    </i>
  </rowItems>
  <colItems count="1">
    <i/>
  </colItems>
  <dataFields count="1">
    <dataField fld="1" subtotal="count" baseField="0" baseItem="0" numFmtId="169"/>
  </dataFields>
  <formats count="1">
    <format dxfId="7">
      <pivotArea outline="0" collapsedLevelsAreSubtotals="1" fieldPosition="0"/>
    </format>
  </formats>
  <pivotHierarchies count="36">
    <pivotHierarchy dragToData="1"/>
    <pivotHierarchy dragToData="1"/>
    <pivotHierarchy dragToData="1"/>
    <pivotHierarchy dragToData="1"/>
    <pivotHierarchy dragToData="1"/>
    <pivotHierarchy dragToData="1"/>
    <pivotHierarchy multipleItemSelectionAllowed="1" dragToData="1">
      <members count="1" level="1">
        <member name="[List_of_order].[Order Status].&amp;[Loss]"/>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List_of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C350FCD-4162-475A-8F6D-71A0B6A376D4}" name="state wise sales" cacheId="9" applyNumberFormats="0" applyBorderFormats="0" applyFontFormats="0" applyPatternFormats="0" applyAlignmentFormats="0" applyWidthHeightFormats="1" dataCaption="Values" tag="eef9a1c0-bf4a-4da7-a90e-b6cda9663e8b" updatedVersion="8" minRefreshableVersion="3" useAutoFormatting="1" subtotalHiddenItems="1" rowGrandTotals="0" colGrandTotals="0" itemPrintTitles="1" createdVersion="8" indent="0" outline="1" outlineData="1" multipleFieldFilters="0" chartFormat="7">
  <location ref="A32:B51" firstHeaderRow="1" firstDataRow="1" firstDataCol="1"/>
  <pivotFields count="4">
    <pivotField dataField="1" subtotalTop="0" showAll="0" defaultSubtotal="0"/>
    <pivotField axis="axisRow" allDrilled="1" subtotalTop="0" showAll="0" sortType="descending" defaultSubtotal="0" defaultAttributeDrillState="1">
      <items count="19">
        <item x="0"/>
        <item x="1"/>
        <item x="2"/>
        <item x="3"/>
        <item x="4"/>
        <item x="5"/>
        <item x="6"/>
        <item x="7"/>
        <item x="8"/>
        <item x="9"/>
        <item x="10"/>
        <item x="11"/>
        <item x="12"/>
        <item x="13"/>
        <item x="14"/>
        <item x="15"/>
        <item x="16"/>
        <item x="17"/>
        <item x="1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9">
    <i>
      <x v="10"/>
    </i>
    <i>
      <x v="11"/>
    </i>
    <i>
      <x v="2"/>
    </i>
    <i>
      <x v="17"/>
    </i>
    <i>
      <x v="14"/>
    </i>
    <i>
      <x v="4"/>
    </i>
    <i>
      <x v="13"/>
    </i>
    <i>
      <x v="8"/>
    </i>
    <i>
      <x v="18"/>
    </i>
    <i>
      <x v="9"/>
    </i>
    <i>
      <x/>
    </i>
    <i>
      <x v="1"/>
    </i>
    <i>
      <x v="12"/>
    </i>
    <i>
      <x v="7"/>
    </i>
    <i>
      <x v="5"/>
    </i>
    <i>
      <x v="6"/>
    </i>
    <i>
      <x v="3"/>
    </i>
    <i>
      <x v="16"/>
    </i>
    <i>
      <x v="15"/>
    </i>
  </rowItems>
  <colItems count="1">
    <i/>
  </colItems>
  <dataFields count="1">
    <dataField name="Sum of Amount" fld="0" baseField="0" baseItem="0" numFmtId="167"/>
  </dataFields>
  <formats count="1">
    <format dxfId="8">
      <pivotArea outline="0" collapsedLevelsAreSubtotals="1" fieldPosition="0"/>
    </format>
  </formats>
  <pivotHierarchies count="36">
    <pivotHierarchy dragToData="1"/>
    <pivotHierarchy dragToData="1"/>
    <pivotHierarchy dragToData="1"/>
    <pivotHierarchy dragToData="1"/>
    <pivotHierarchy dragToData="1"/>
    <pivotHierarchy dragToData="1"/>
    <pivotHierarchy multipleItemSelectionAllowed="1" dragToData="1">
      <members count="1" level="1">
        <member name="[List_of_order].[Order Status].&amp;[Loss]"/>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List_of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519E5A4-6E66-47B0-80C0-5B9002911907}" name="Product sub category sales" cacheId="5" applyNumberFormats="0" applyBorderFormats="0" applyFontFormats="0" applyPatternFormats="0" applyAlignmentFormats="0" applyWidthHeightFormats="1" dataCaption="Values" tag="51ddce38-a4e7-4e28-95d9-d680e2d9fe05" updatedVersion="8" minRefreshableVersion="3" useAutoFormatting="1" subtotalHiddenItems="1" rowGrandTotals="0" colGrandTotals="0" itemPrintTitles="1" createdVersion="8" indent="0" outline="1" outlineData="1" multipleFieldFilters="0" chartFormat="14">
  <location ref="A77:B94"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7">
    <i>
      <x v="9"/>
    </i>
    <i>
      <x v="1"/>
    </i>
    <i>
      <x v="10"/>
    </i>
    <i>
      <x v="8"/>
    </i>
    <i>
      <x v="3"/>
    </i>
    <i>
      <x v="2"/>
    </i>
    <i>
      <x v="15"/>
    </i>
    <i>
      <x v="14"/>
    </i>
    <i>
      <x/>
    </i>
    <i>
      <x v="13"/>
    </i>
    <i>
      <x v="5"/>
    </i>
    <i>
      <x v="4"/>
    </i>
    <i>
      <x v="11"/>
    </i>
    <i>
      <x v="16"/>
    </i>
    <i>
      <x v="6"/>
    </i>
    <i>
      <x v="7"/>
    </i>
    <i>
      <x v="12"/>
    </i>
  </rowItems>
  <colItems count="1">
    <i/>
  </colItems>
  <dataFields count="1">
    <dataField fld="2" subtotal="count" baseField="0" baseItem="0" numFmtId="167"/>
  </dataFields>
  <formats count="1">
    <format dxfId="9">
      <pivotArea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multipleItemSelectionAllowed="1" dragToData="1">
      <members count="1" level="1">
        <member name="[List_of_order].[Order Status].&amp;[Loss]"/>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1">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List_of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FC5E7F3-D8C6-4D01-87D4-7A9356427DB1}" name="Share of Profit &amp; Loss oders" cacheId="8" applyNumberFormats="0" applyBorderFormats="0" applyFontFormats="0" applyPatternFormats="0" applyAlignmentFormats="0" applyWidthHeightFormats="1" dataCaption="Values" tag="12976b32-0c32-4c8e-83f3-d46baf1974b5" updatedVersion="8" minRefreshableVersion="3" useAutoFormatting="1" subtotalHiddenItems="1" rowGrandTotals="0" colGrandTotals="0" itemPrintTitles="1" createdVersion="8" indent="0" outline="1" outlineData="1" multipleFieldFilters="0" chartFormat="7">
  <location ref="A27:B29"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2">
    <i>
      <x/>
    </i>
    <i>
      <x v="1"/>
    </i>
  </rowItems>
  <colItems count="1">
    <i/>
  </colItems>
  <dataFields count="1">
    <dataField name="Count of Order ID" fld="0" subtotal="count" showDataAs="percentOfTotal" baseField="0" baseItem="0" numFmtId="169"/>
  </dataFields>
  <formats count="1">
    <format dxfId="10">
      <pivotArea outline="0" collapsedLevelsAreSubtotals="1" fieldPosition="0"/>
    </format>
  </formats>
  <chartFormats count="3">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 count="1" selected="0">
            <x v="0"/>
          </reference>
        </references>
      </pivotArea>
    </chartFormat>
    <chartFormat chart="6" format="10">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rder_Details]"/>
        <x15:activeTabTopLevelEntity name="[List_of_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967AB58-2978-43B3-9D2A-6EED159A084B}" name="Category Specific KPIs" cacheId="10" applyNumberFormats="0" applyBorderFormats="0" applyFontFormats="0" applyPatternFormats="0" applyAlignmentFormats="0" applyWidthHeightFormats="1" dataCaption="Values" tag="23bfe9d2-d4bf-4eee-be40-af2b772fe505" updatedVersion="8" minRefreshableVersion="3" useAutoFormatting="1" subtotalHiddenItems="1" itemPrintTitles="1" createdVersion="8" indent="0" outline="1" outlineData="1" multipleFieldFilters="0">
  <location ref="E11:M12"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9">
    <i>
      <x/>
    </i>
    <i i="1">
      <x v="1"/>
    </i>
    <i i="2">
      <x v="2"/>
    </i>
    <i i="3">
      <x v="3"/>
    </i>
    <i i="4">
      <x v="4"/>
    </i>
    <i i="5">
      <x v="5"/>
    </i>
    <i i="6">
      <x v="6"/>
    </i>
    <i i="7">
      <x v="7"/>
    </i>
    <i i="8">
      <x v="8"/>
    </i>
  </colItems>
  <dataFields count="9">
    <dataField fld="0" subtotal="count" baseField="0" baseItem="0" numFmtId="167"/>
    <dataField fld="1" subtotal="count" baseField="0" baseItem="0"/>
    <dataField fld="2" subtotal="count" baseField="0" baseItem="0"/>
    <dataField fld="3" subtotal="count" baseField="0" baseItem="0"/>
    <dataField fld="4" subtotal="count" baseField="0" baseItem="0"/>
    <dataField fld="5" subtotal="count" baseField="0" baseItem="0" numFmtId="172"/>
    <dataField fld="6" subtotal="count" baseField="0" baseItem="0"/>
    <dataField fld="7" subtotal="count" baseField="0" baseItem="0"/>
    <dataField fld="8" subtotal="count" baseField="0" baseItem="0"/>
  </dataFields>
  <formats count="2">
    <format dxfId="12">
      <pivotArea outline="0" collapsedLevelsAreSubtotals="1" fieldPosition="0">
        <references count="1">
          <reference field="4294967294" count="1" selected="0">
            <x v="0"/>
          </reference>
        </references>
      </pivotArea>
    </format>
    <format dxfId="11">
      <pivotArea outline="0" collapsedLevelsAreSubtotals="1" fieldPosition="0">
        <references count="1">
          <reference field="4294967294" count="1" selected="0">
            <x v="5"/>
          </reference>
        </references>
      </pivotArea>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1800F36-F26B-4DCE-9818-8F7AAAE07FFD}" autoFormatId="16" applyNumberFormats="0" applyBorderFormats="0" applyFontFormats="0" applyPatternFormats="0" applyAlignmentFormats="0" applyWidthHeightFormats="0">
  <queryTableRefresh nextId="13">
    <queryTableFields count="11">
      <queryTableField id="1" name="Order ID" tableColumnId="1"/>
      <queryTableField id="2" name="Order Date" tableColumnId="2"/>
      <queryTableField id="3" name="CustomerName" tableColumnId="3"/>
      <queryTableField id="4" name="State" tableColumnId="4"/>
      <queryTableField id="5" name="City" tableColumnId="5"/>
      <queryTableField id="6" name="Order Date (Year)" tableColumnId="6"/>
      <queryTableField id="7" name="Order Date (Quarter)" tableColumnId="7"/>
      <queryTableField id="8" name="Order Date (Month Index)" tableColumnId="8"/>
      <queryTableField id="9" name="Order Date (Month)" tableColumnId="9"/>
      <queryTableField id="11" name="Month Name" tableColumnId="11"/>
      <queryTableField id="12" name="Order Status"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EBD80D64-CB4C-42FD-9D48-180908A9A4FD}" autoFormatId="16" applyNumberFormats="0" applyBorderFormats="0" applyFontFormats="0" applyPatternFormats="0" applyAlignmentFormats="0" applyWidthHeightFormats="0">
  <queryTableRefresh nextId="9">
    <queryTableFields count="6">
      <queryTableField id="1" name="Order ID" tableColumnId="1"/>
      <queryTableField id="2" name="Amount" tableColumnId="2"/>
      <queryTableField id="3" name="Profit" tableColumnId="3"/>
      <queryTableField id="4" name="Quantity" tableColumnId="4"/>
      <queryTableField id="5" name="Category" tableColumnId="5"/>
      <queryTableField id="6" name="Sub-Category" tableColumnId="6"/>
    </queryTableFields>
  </queryTableRefresh>
  <extLst>
    <ext xmlns:x15="http://schemas.microsoft.com/office/spreadsheetml/2010/11/main" uri="{883FBD77-0823-4a55-B5E3-86C4891E6966}">
      <x15:queryTable sourceDataName="Query - Order_Detail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873D023-ACBC-432E-B40B-F340E7359F85}" sourceName="[Order_Details].[Category]">
  <pivotTables>
    <pivotTable tabId="2" name="Sales &amp; Quantity by Month"/>
    <pivotTable tabId="2" name="Product sub category sales"/>
    <pivotTable tabId="2" name="Profit Margin by State"/>
    <pivotTable tabId="2" name="sales by city"/>
    <pivotTable tabId="2" name="Share of Profit &amp; Loss oders"/>
    <pivotTable tabId="2" name="state wise sales"/>
    <pivotTable tabId="2" name="Category Specific KPIs"/>
    <pivotTable tabId="2" name="PivotTable4"/>
    <pivotTable tabId="2" name="PivotTable2"/>
  </pivotTables>
  <data>
    <olap pivotCacheId="339139800">
      <levels count="2">
        <level uniqueName="[Order_Details].[Category].[(All)]" sourceCaption="(All)" count="0"/>
        <level uniqueName="[Order_Details].[Category].[Category]" sourceCaption="Category" count="3">
          <ranges>
            <range startItem="0">
              <i n="[Order_Details].[Category].&amp;[Clothing]" c="Clothing"/>
              <i n="[Order_Details].[Category].&amp;[Electronics]" c="Electronics"/>
              <i n="[Order_Details].[Category].&amp;[Furniture]" c="Furniture"/>
            </range>
          </ranges>
        </level>
      </levels>
      <selections count="1">
        <selection n="[Order_Detail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079611B-A6E4-484D-BF03-0D8BF363F07F}" cache="Slicer_Category" caption="Category" level="1" style="SlicerStyleLight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0FF827-D530-4AE4-8F96-EFCDD4C8AD5F}" name="List_of_order" displayName="List_of_order" ref="A3:K503" tableType="queryTable" totalsRowShown="0">
  <autoFilter ref="A3:K503" xr:uid="{390FF827-D530-4AE4-8F96-EFCDD4C8AD5F}"/>
  <sortState xmlns:xlrd2="http://schemas.microsoft.com/office/spreadsheetml/2017/richdata2" ref="A4:K503">
    <sortCondition ref="A3:A503"/>
  </sortState>
  <tableColumns count="11">
    <tableColumn id="1" xr3:uid="{F6F8C997-C74F-472D-82D3-5AFF7742DB9A}" uniqueName="1" name="Order ID" queryTableFieldId="1" dataDxfId="20"/>
    <tableColumn id="2" xr3:uid="{582D78F7-D340-489F-B9BF-4E005FEA4249}" uniqueName="2" name="Order Date" queryTableFieldId="2" dataDxfId="19"/>
    <tableColumn id="3" xr3:uid="{37570EAE-0317-4CA3-B9DF-61C3C5EF8E59}" uniqueName="3" name="CustomerName" queryTableFieldId="3" dataDxfId="18"/>
    <tableColumn id="4" xr3:uid="{220EBA25-A96B-4DDA-91FA-12EFBDFCDD5C}" uniqueName="4" name="State" queryTableFieldId="4" dataDxfId="17"/>
    <tableColumn id="5" xr3:uid="{66C09EC5-9DDA-47CD-BCA8-CA058F169B42}" uniqueName="5" name="City" queryTableFieldId="5" dataDxfId="16"/>
    <tableColumn id="6" xr3:uid="{668227CE-1D0F-480E-A630-7348311CB029}" uniqueName="6" name="Order Date (Year)" queryTableFieldId="6"/>
    <tableColumn id="7" xr3:uid="{71C4FB3A-ADEC-44C9-9A6A-FD640925993A}" uniqueName="7" name="Order Date (Quarter)" queryTableFieldId="7"/>
    <tableColumn id="8" xr3:uid="{430EED0C-4753-4437-A3D8-0CA8BBB88312}" uniqueName="8" name="Order Date (Month Index)" queryTableFieldId="8"/>
    <tableColumn id="9" xr3:uid="{9635E798-C432-4E29-A732-B5F90922606C}" uniqueName="9" name="Order Date (Month)" queryTableFieldId="9"/>
    <tableColumn id="11" xr3:uid="{E4A4D66D-CA34-4D36-8F93-D7A5E2E1BF68}" uniqueName="11" name="Month Name" queryTableFieldId="11"/>
    <tableColumn id="12" xr3:uid="{7CCE01CC-A61E-4EBA-A639-3CFC1C208F9A}" uniqueName="12" name="Order Status"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1732BF-739D-4541-935C-123509B5D0CF}" name="Order_Details" displayName="Order_Details" ref="B3:G1503" tableType="queryTable" totalsRowShown="0">
  <autoFilter ref="B3:G1503" xr:uid="{AA1732BF-739D-4541-935C-123509B5D0CF}">
    <filterColumn colId="4">
      <filters>
        <filter val="Clothing"/>
      </filters>
    </filterColumn>
    <filterColumn colId="5">
      <filters>
        <filter val="Saree"/>
      </filters>
    </filterColumn>
  </autoFilter>
  <tableColumns count="6">
    <tableColumn id="1" xr3:uid="{7015C2A9-8FED-4F81-9A0E-6F6956D7AE6E}" uniqueName="1" name="Order ID" queryTableFieldId="1" dataDxfId="15"/>
    <tableColumn id="2" xr3:uid="{24BF5AA0-3258-41B1-A1BD-1127F026179D}" uniqueName="2" name="Amount" queryTableFieldId="2"/>
    <tableColumn id="3" xr3:uid="{AEA021F7-7766-4720-872C-649F4CBE63F8}" uniqueName="3" name="Profit" queryTableFieldId="3"/>
    <tableColumn id="4" xr3:uid="{24F1F50B-3EDA-458B-AFAA-CB7EB7D13702}" uniqueName="4" name="Quantity" queryTableFieldId="4"/>
    <tableColumn id="5" xr3:uid="{D36CB313-34AF-449D-9CA8-F54D4FB47B4B}" uniqueName="5" name="Category" queryTableFieldId="5" dataDxfId="14"/>
    <tableColumn id="6" xr3:uid="{3071C1B4-740E-4631-AC7F-541C0B6C2DE9}" uniqueName="6" name="Sub-Category" queryTableFieldId="6" dataDxf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C0CF99E-E9A1-4CEE-952C-A7153B46EF74}" name="Table4" displayName="Table4" ref="D127:E146" totalsRowShown="0">
  <autoFilter ref="D127:E146" xr:uid="{8C0CF99E-E9A1-4CEE-952C-A7153B46EF74}"/>
  <sortState xmlns:xlrd2="http://schemas.microsoft.com/office/spreadsheetml/2017/richdata2" ref="D128:E146">
    <sortCondition ref="E127:E146"/>
  </sortState>
  <tableColumns count="2">
    <tableColumn id="1" xr3:uid="{75A656D9-0042-43BB-B2B8-C86848B01B53}" name="Row Labels"/>
    <tableColumn id="2" xr3:uid="{EC91B91A-00FF-410E-A4ED-FFA8F014241C}" name="Sum of 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Custom 2">
      <a:majorFont>
        <a:latin typeface="Aptos ExtraBold"/>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table" Target="../tables/table3.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K503"/>
  <sheetViews>
    <sheetView topLeftCell="A7" workbookViewId="0">
      <selection activeCell="C18" sqref="C18"/>
    </sheetView>
  </sheetViews>
  <sheetFormatPr defaultRowHeight="14.5" x14ac:dyDescent="0.35"/>
  <cols>
    <col min="1" max="1" width="9.75" bestFit="1" customWidth="1"/>
    <col min="2" max="2" width="11.9140625" bestFit="1" customWidth="1"/>
    <col min="3" max="3" width="16.33203125" bestFit="1" customWidth="1"/>
    <col min="4" max="4" width="16.9140625" bestFit="1" customWidth="1"/>
    <col min="5" max="5" width="17.4140625" bestFit="1" customWidth="1"/>
    <col min="6" max="6" width="17.1640625" hidden="1" customWidth="1"/>
    <col min="7" max="7" width="19.83203125" hidden="1" customWidth="1"/>
    <col min="8" max="8" width="23.83203125" hidden="1" customWidth="1"/>
    <col min="9" max="9" width="18.75" hidden="1" customWidth="1"/>
    <col min="10" max="10" width="13.58203125" bestFit="1" customWidth="1"/>
    <col min="11" max="11" width="13.33203125" bestFit="1" customWidth="1"/>
    <col min="12" max="12" width="20.83203125" bestFit="1" customWidth="1"/>
    <col min="18" max="18" width="9.75" bestFit="1" customWidth="1"/>
    <col min="19" max="19" width="9.58203125" bestFit="1" customWidth="1"/>
    <col min="20" max="20" width="7.4140625" bestFit="1" customWidth="1"/>
    <col min="21" max="21" width="10.08203125" bestFit="1" customWidth="1"/>
    <col min="22" max="22" width="10.4140625" bestFit="1" customWidth="1"/>
    <col min="23" max="23" width="15.1640625" bestFit="1" customWidth="1"/>
    <col min="24" max="24" width="16.75" bestFit="1" customWidth="1"/>
    <col min="25" max="25" width="19.1640625" bestFit="1" customWidth="1"/>
  </cols>
  <sheetData>
    <row r="3" spans="1:11" x14ac:dyDescent="0.35">
      <c r="A3" t="s">
        <v>0</v>
      </c>
      <c r="B3" t="s">
        <v>1</v>
      </c>
      <c r="C3" t="s">
        <v>2</v>
      </c>
      <c r="D3" t="s">
        <v>3</v>
      </c>
      <c r="E3" t="s">
        <v>4</v>
      </c>
      <c r="F3" t="s">
        <v>911</v>
      </c>
      <c r="G3" t="s">
        <v>912</v>
      </c>
      <c r="H3" t="s">
        <v>913</v>
      </c>
      <c r="I3" t="s">
        <v>914</v>
      </c>
      <c r="J3" t="s">
        <v>934</v>
      </c>
      <c r="K3" t="s">
        <v>946</v>
      </c>
    </row>
    <row r="4" spans="1:11" x14ac:dyDescent="0.35">
      <c r="A4" t="s">
        <v>351</v>
      </c>
      <c r="B4" s="1">
        <v>43191</v>
      </c>
      <c r="C4" t="s">
        <v>352</v>
      </c>
      <c r="D4" t="s">
        <v>353</v>
      </c>
      <c r="E4" t="s">
        <v>354</v>
      </c>
      <c r="F4" t="s">
        <v>915</v>
      </c>
      <c r="G4" t="s">
        <v>916</v>
      </c>
      <c r="H4">
        <v>4</v>
      </c>
      <c r="I4" t="s">
        <v>917</v>
      </c>
      <c r="J4" t="s">
        <v>935</v>
      </c>
      <c r="K4" t="s">
        <v>947</v>
      </c>
    </row>
    <row r="5" spans="1:11" x14ac:dyDescent="0.35">
      <c r="A5" t="s">
        <v>191</v>
      </c>
      <c r="B5" s="1">
        <v>43191</v>
      </c>
      <c r="C5" t="s">
        <v>192</v>
      </c>
      <c r="D5" t="s">
        <v>193</v>
      </c>
      <c r="E5" t="s">
        <v>194</v>
      </c>
      <c r="F5" t="s">
        <v>915</v>
      </c>
      <c r="G5" t="s">
        <v>916</v>
      </c>
      <c r="H5">
        <v>4</v>
      </c>
      <c r="I5" t="s">
        <v>917</v>
      </c>
      <c r="J5" t="s">
        <v>935</v>
      </c>
      <c r="K5" t="s">
        <v>879</v>
      </c>
    </row>
    <row r="6" spans="1:11" x14ac:dyDescent="0.35">
      <c r="A6" t="s">
        <v>146</v>
      </c>
      <c r="B6" s="1">
        <v>43193</v>
      </c>
      <c r="C6" t="s">
        <v>147</v>
      </c>
      <c r="D6" t="s">
        <v>7</v>
      </c>
      <c r="E6" t="s">
        <v>148</v>
      </c>
      <c r="F6" t="s">
        <v>915</v>
      </c>
      <c r="G6" t="s">
        <v>916</v>
      </c>
      <c r="H6">
        <v>4</v>
      </c>
      <c r="I6" t="s">
        <v>917</v>
      </c>
      <c r="J6" t="s">
        <v>935</v>
      </c>
      <c r="K6" t="s">
        <v>947</v>
      </c>
    </row>
    <row r="7" spans="1:11" x14ac:dyDescent="0.35">
      <c r="A7" t="s">
        <v>355</v>
      </c>
      <c r="B7" s="1">
        <v>43193</v>
      </c>
      <c r="C7" t="s">
        <v>356</v>
      </c>
      <c r="D7" t="s">
        <v>357</v>
      </c>
      <c r="E7" t="s">
        <v>358</v>
      </c>
      <c r="F7" t="s">
        <v>915</v>
      </c>
      <c r="G7" t="s">
        <v>916</v>
      </c>
      <c r="H7">
        <v>4</v>
      </c>
      <c r="I7" t="s">
        <v>917</v>
      </c>
      <c r="J7" t="s">
        <v>935</v>
      </c>
      <c r="K7" t="s">
        <v>879</v>
      </c>
    </row>
    <row r="8" spans="1:11" x14ac:dyDescent="0.35">
      <c r="A8" t="s">
        <v>359</v>
      </c>
      <c r="B8" s="1">
        <v>43195</v>
      </c>
      <c r="C8" t="s">
        <v>360</v>
      </c>
      <c r="D8" t="s">
        <v>361</v>
      </c>
      <c r="E8" t="s">
        <v>362</v>
      </c>
      <c r="F8" t="s">
        <v>915</v>
      </c>
      <c r="G8" t="s">
        <v>916</v>
      </c>
      <c r="H8">
        <v>4</v>
      </c>
      <c r="I8" t="s">
        <v>917</v>
      </c>
      <c r="J8" t="s">
        <v>935</v>
      </c>
      <c r="K8" t="s">
        <v>879</v>
      </c>
    </row>
    <row r="9" spans="1:11" x14ac:dyDescent="0.35">
      <c r="A9" t="s">
        <v>363</v>
      </c>
      <c r="B9" s="1">
        <v>43196</v>
      </c>
      <c r="C9" t="s">
        <v>364</v>
      </c>
      <c r="D9" t="s">
        <v>365</v>
      </c>
      <c r="E9" t="s">
        <v>366</v>
      </c>
      <c r="F9" t="s">
        <v>915</v>
      </c>
      <c r="G9" t="s">
        <v>916</v>
      </c>
      <c r="H9">
        <v>4</v>
      </c>
      <c r="I9" t="s">
        <v>917</v>
      </c>
      <c r="J9" t="s">
        <v>935</v>
      </c>
      <c r="K9" t="s">
        <v>879</v>
      </c>
    </row>
    <row r="10" spans="1:11" x14ac:dyDescent="0.35">
      <c r="A10" t="s">
        <v>367</v>
      </c>
      <c r="B10" s="1">
        <v>43196</v>
      </c>
      <c r="C10" t="s">
        <v>368</v>
      </c>
      <c r="D10" t="s">
        <v>369</v>
      </c>
      <c r="E10" t="s">
        <v>370</v>
      </c>
      <c r="F10" t="s">
        <v>915</v>
      </c>
      <c r="G10" t="s">
        <v>916</v>
      </c>
      <c r="H10">
        <v>4</v>
      </c>
      <c r="I10" t="s">
        <v>917</v>
      </c>
      <c r="J10" t="s">
        <v>935</v>
      </c>
      <c r="K10" t="s">
        <v>879</v>
      </c>
    </row>
    <row r="11" spans="1:11" x14ac:dyDescent="0.35">
      <c r="A11" t="s">
        <v>371</v>
      </c>
      <c r="B11" s="1">
        <v>43198</v>
      </c>
      <c r="C11" t="s">
        <v>372</v>
      </c>
      <c r="D11" t="s">
        <v>373</v>
      </c>
      <c r="E11" t="s">
        <v>374</v>
      </c>
      <c r="F11" t="s">
        <v>915</v>
      </c>
      <c r="G11" t="s">
        <v>916</v>
      </c>
      <c r="H11">
        <v>4</v>
      </c>
      <c r="I11" t="s">
        <v>917</v>
      </c>
      <c r="J11" t="s">
        <v>935</v>
      </c>
      <c r="K11" t="s">
        <v>947</v>
      </c>
    </row>
    <row r="12" spans="1:11" x14ac:dyDescent="0.35">
      <c r="A12" t="s">
        <v>375</v>
      </c>
      <c r="B12" s="1">
        <v>43199</v>
      </c>
      <c r="C12" t="s">
        <v>376</v>
      </c>
      <c r="D12" t="s">
        <v>377</v>
      </c>
      <c r="E12" t="s">
        <v>378</v>
      </c>
      <c r="F12" t="s">
        <v>915</v>
      </c>
      <c r="G12" t="s">
        <v>916</v>
      </c>
      <c r="H12">
        <v>4</v>
      </c>
      <c r="I12" t="s">
        <v>917</v>
      </c>
      <c r="J12" t="s">
        <v>935</v>
      </c>
      <c r="K12" t="s">
        <v>879</v>
      </c>
    </row>
    <row r="13" spans="1:11" x14ac:dyDescent="0.35">
      <c r="A13" t="s">
        <v>379</v>
      </c>
      <c r="B13" s="1">
        <v>43199</v>
      </c>
      <c r="C13" t="s">
        <v>138</v>
      </c>
      <c r="D13" t="s">
        <v>380</v>
      </c>
      <c r="E13" t="s">
        <v>381</v>
      </c>
      <c r="F13" t="s">
        <v>915</v>
      </c>
      <c r="G13" t="s">
        <v>916</v>
      </c>
      <c r="H13">
        <v>4</v>
      </c>
      <c r="I13" t="s">
        <v>917</v>
      </c>
      <c r="J13" t="s">
        <v>935</v>
      </c>
      <c r="K13" t="s">
        <v>947</v>
      </c>
    </row>
    <row r="14" spans="1:11" x14ac:dyDescent="0.35">
      <c r="A14" t="s">
        <v>382</v>
      </c>
      <c r="B14" s="1">
        <v>43201</v>
      </c>
      <c r="C14" t="s">
        <v>383</v>
      </c>
      <c r="D14" t="s">
        <v>384</v>
      </c>
      <c r="E14" t="s">
        <v>385</v>
      </c>
      <c r="F14" t="s">
        <v>915</v>
      </c>
      <c r="G14" t="s">
        <v>916</v>
      </c>
      <c r="H14">
        <v>4</v>
      </c>
      <c r="I14" t="s">
        <v>917</v>
      </c>
      <c r="J14" t="s">
        <v>935</v>
      </c>
      <c r="K14" t="s">
        <v>947</v>
      </c>
    </row>
    <row r="15" spans="1:11" x14ac:dyDescent="0.35">
      <c r="A15" t="s">
        <v>386</v>
      </c>
      <c r="B15" s="1">
        <v>43202</v>
      </c>
      <c r="C15" t="s">
        <v>387</v>
      </c>
      <c r="D15" t="s">
        <v>388</v>
      </c>
      <c r="E15" t="s">
        <v>389</v>
      </c>
      <c r="F15" t="s">
        <v>915</v>
      </c>
      <c r="G15" t="s">
        <v>916</v>
      </c>
      <c r="H15">
        <v>4</v>
      </c>
      <c r="I15" t="s">
        <v>917</v>
      </c>
      <c r="J15" t="s">
        <v>935</v>
      </c>
      <c r="K15" t="s">
        <v>947</v>
      </c>
    </row>
    <row r="16" spans="1:11" x14ac:dyDescent="0.35">
      <c r="A16" t="s">
        <v>390</v>
      </c>
      <c r="B16" s="1">
        <v>43202</v>
      </c>
      <c r="C16" t="s">
        <v>391</v>
      </c>
      <c r="D16" t="s">
        <v>392</v>
      </c>
      <c r="E16" t="s">
        <v>389</v>
      </c>
      <c r="F16" t="s">
        <v>915</v>
      </c>
      <c r="G16" t="s">
        <v>916</v>
      </c>
      <c r="H16">
        <v>4</v>
      </c>
      <c r="I16" t="s">
        <v>917</v>
      </c>
      <c r="J16" t="s">
        <v>935</v>
      </c>
      <c r="K16" t="s">
        <v>879</v>
      </c>
    </row>
    <row r="17" spans="1:11" x14ac:dyDescent="0.35">
      <c r="A17" t="s">
        <v>393</v>
      </c>
      <c r="B17" s="1">
        <v>43203</v>
      </c>
      <c r="C17" t="s">
        <v>394</v>
      </c>
      <c r="D17" t="s">
        <v>395</v>
      </c>
      <c r="E17" t="s">
        <v>396</v>
      </c>
      <c r="F17" t="s">
        <v>915</v>
      </c>
      <c r="G17" t="s">
        <v>916</v>
      </c>
      <c r="H17">
        <v>4</v>
      </c>
      <c r="I17" t="s">
        <v>917</v>
      </c>
      <c r="J17" t="s">
        <v>935</v>
      </c>
      <c r="K17" t="s">
        <v>879</v>
      </c>
    </row>
    <row r="18" spans="1:11" x14ac:dyDescent="0.35">
      <c r="A18" t="s">
        <v>397</v>
      </c>
      <c r="B18" s="1">
        <v>43205</v>
      </c>
      <c r="C18" t="s">
        <v>398</v>
      </c>
      <c r="D18" t="s">
        <v>399</v>
      </c>
      <c r="E18" t="s">
        <v>400</v>
      </c>
      <c r="F18" t="s">
        <v>915</v>
      </c>
      <c r="G18" t="s">
        <v>916</v>
      </c>
      <c r="H18">
        <v>4</v>
      </c>
      <c r="I18" t="s">
        <v>917</v>
      </c>
      <c r="J18" t="s">
        <v>935</v>
      </c>
      <c r="K18" t="s">
        <v>879</v>
      </c>
    </row>
    <row r="19" spans="1:11" x14ac:dyDescent="0.35">
      <c r="A19" t="s">
        <v>401</v>
      </c>
      <c r="B19" s="1">
        <v>43205</v>
      </c>
      <c r="C19" t="s">
        <v>402</v>
      </c>
      <c r="D19" t="s">
        <v>403</v>
      </c>
      <c r="E19" t="s">
        <v>403</v>
      </c>
      <c r="F19" t="s">
        <v>915</v>
      </c>
      <c r="G19" t="s">
        <v>916</v>
      </c>
      <c r="H19">
        <v>4</v>
      </c>
      <c r="I19" t="s">
        <v>917</v>
      </c>
      <c r="J19" t="s">
        <v>935</v>
      </c>
      <c r="K19" t="s">
        <v>947</v>
      </c>
    </row>
    <row r="20" spans="1:11" x14ac:dyDescent="0.35">
      <c r="A20" t="s">
        <v>404</v>
      </c>
      <c r="B20" s="1">
        <v>43207</v>
      </c>
      <c r="C20" t="s">
        <v>405</v>
      </c>
      <c r="D20" t="s">
        <v>406</v>
      </c>
      <c r="E20" t="s">
        <v>407</v>
      </c>
      <c r="F20" t="s">
        <v>915</v>
      </c>
      <c r="G20" t="s">
        <v>916</v>
      </c>
      <c r="H20">
        <v>4</v>
      </c>
      <c r="I20" t="s">
        <v>917</v>
      </c>
      <c r="J20" t="s">
        <v>935</v>
      </c>
      <c r="K20" t="s">
        <v>947</v>
      </c>
    </row>
    <row r="21" spans="1:11" x14ac:dyDescent="0.35">
      <c r="A21" t="s">
        <v>408</v>
      </c>
      <c r="B21" s="1">
        <v>43208</v>
      </c>
      <c r="C21" t="s">
        <v>409</v>
      </c>
      <c r="D21" t="s">
        <v>410</v>
      </c>
      <c r="E21" t="s">
        <v>411</v>
      </c>
      <c r="F21" t="s">
        <v>915</v>
      </c>
      <c r="G21" t="s">
        <v>916</v>
      </c>
      <c r="H21">
        <v>4</v>
      </c>
      <c r="I21" t="s">
        <v>917</v>
      </c>
      <c r="J21" t="s">
        <v>935</v>
      </c>
      <c r="K21" t="s">
        <v>879</v>
      </c>
    </row>
    <row r="22" spans="1:11" x14ac:dyDescent="0.35">
      <c r="A22" t="s">
        <v>412</v>
      </c>
      <c r="B22" s="1">
        <v>43208</v>
      </c>
      <c r="C22" t="s">
        <v>413</v>
      </c>
      <c r="D22" t="s">
        <v>353</v>
      </c>
      <c r="E22" t="s">
        <v>354</v>
      </c>
      <c r="F22" t="s">
        <v>915</v>
      </c>
      <c r="G22" t="s">
        <v>916</v>
      </c>
      <c r="H22">
        <v>4</v>
      </c>
      <c r="I22" t="s">
        <v>917</v>
      </c>
      <c r="J22" t="s">
        <v>935</v>
      </c>
      <c r="K22" t="s">
        <v>879</v>
      </c>
    </row>
    <row r="23" spans="1:11" x14ac:dyDescent="0.35">
      <c r="A23" t="s">
        <v>195</v>
      </c>
      <c r="B23" s="1">
        <v>43210</v>
      </c>
      <c r="C23" t="s">
        <v>196</v>
      </c>
      <c r="D23" t="s">
        <v>193</v>
      </c>
      <c r="E23" t="s">
        <v>194</v>
      </c>
      <c r="F23" t="s">
        <v>915</v>
      </c>
      <c r="G23" t="s">
        <v>916</v>
      </c>
      <c r="H23">
        <v>4</v>
      </c>
      <c r="I23" t="s">
        <v>917</v>
      </c>
      <c r="J23" t="s">
        <v>935</v>
      </c>
      <c r="K23" t="s">
        <v>879</v>
      </c>
    </row>
    <row r="24" spans="1:11" x14ac:dyDescent="0.35">
      <c r="A24" t="s">
        <v>149</v>
      </c>
      <c r="B24" s="1">
        <v>43210</v>
      </c>
      <c r="C24" t="s">
        <v>150</v>
      </c>
      <c r="D24" t="s">
        <v>7</v>
      </c>
      <c r="E24" t="s">
        <v>148</v>
      </c>
      <c r="F24" t="s">
        <v>915</v>
      </c>
      <c r="G24" t="s">
        <v>916</v>
      </c>
      <c r="H24">
        <v>4</v>
      </c>
      <c r="I24" t="s">
        <v>917</v>
      </c>
      <c r="J24" t="s">
        <v>935</v>
      </c>
      <c r="K24" t="s">
        <v>879</v>
      </c>
    </row>
    <row r="25" spans="1:11" x14ac:dyDescent="0.35">
      <c r="A25" t="s">
        <v>414</v>
      </c>
      <c r="B25" s="1">
        <v>43212</v>
      </c>
      <c r="C25" t="s">
        <v>415</v>
      </c>
      <c r="D25" t="s">
        <v>357</v>
      </c>
      <c r="E25" t="s">
        <v>358</v>
      </c>
      <c r="F25" t="s">
        <v>915</v>
      </c>
      <c r="G25" t="s">
        <v>916</v>
      </c>
      <c r="H25">
        <v>4</v>
      </c>
      <c r="I25" t="s">
        <v>917</v>
      </c>
      <c r="J25" t="s">
        <v>935</v>
      </c>
      <c r="K25" t="s">
        <v>879</v>
      </c>
    </row>
    <row r="26" spans="1:11" x14ac:dyDescent="0.35">
      <c r="A26" t="s">
        <v>416</v>
      </c>
      <c r="B26" s="1">
        <v>43212</v>
      </c>
      <c r="C26" t="s">
        <v>417</v>
      </c>
      <c r="D26" t="s">
        <v>361</v>
      </c>
      <c r="E26" t="s">
        <v>362</v>
      </c>
      <c r="F26" t="s">
        <v>915</v>
      </c>
      <c r="G26" t="s">
        <v>916</v>
      </c>
      <c r="H26">
        <v>4</v>
      </c>
      <c r="I26" t="s">
        <v>917</v>
      </c>
      <c r="J26" t="s">
        <v>935</v>
      </c>
      <c r="K26" t="s">
        <v>879</v>
      </c>
    </row>
    <row r="27" spans="1:11" x14ac:dyDescent="0.35">
      <c r="A27" t="s">
        <v>418</v>
      </c>
      <c r="B27" s="1">
        <v>43212</v>
      </c>
      <c r="C27" t="s">
        <v>419</v>
      </c>
      <c r="D27" t="s">
        <v>365</v>
      </c>
      <c r="E27" t="s">
        <v>366</v>
      </c>
      <c r="F27" t="s">
        <v>915</v>
      </c>
      <c r="G27" t="s">
        <v>916</v>
      </c>
      <c r="H27">
        <v>4</v>
      </c>
      <c r="I27" t="s">
        <v>917</v>
      </c>
      <c r="J27" t="s">
        <v>935</v>
      </c>
      <c r="K27" t="s">
        <v>879</v>
      </c>
    </row>
    <row r="28" spans="1:11" x14ac:dyDescent="0.35">
      <c r="A28" t="s">
        <v>420</v>
      </c>
      <c r="B28" s="1">
        <v>43213</v>
      </c>
      <c r="C28" t="s">
        <v>421</v>
      </c>
      <c r="D28" t="s">
        <v>369</v>
      </c>
      <c r="E28" t="s">
        <v>370</v>
      </c>
      <c r="F28" t="s">
        <v>915</v>
      </c>
      <c r="G28" t="s">
        <v>916</v>
      </c>
      <c r="H28">
        <v>4</v>
      </c>
      <c r="I28" t="s">
        <v>917</v>
      </c>
      <c r="J28" t="s">
        <v>935</v>
      </c>
      <c r="K28" t="s">
        <v>947</v>
      </c>
    </row>
    <row r="29" spans="1:11" x14ac:dyDescent="0.35">
      <c r="A29" t="s">
        <v>228</v>
      </c>
      <c r="B29" s="1">
        <v>43213</v>
      </c>
      <c r="C29" t="s">
        <v>229</v>
      </c>
      <c r="D29" t="s">
        <v>193</v>
      </c>
      <c r="E29" t="s">
        <v>230</v>
      </c>
      <c r="F29" t="s">
        <v>915</v>
      </c>
      <c r="G29" t="s">
        <v>916</v>
      </c>
      <c r="H29">
        <v>4</v>
      </c>
      <c r="I29" t="s">
        <v>917</v>
      </c>
      <c r="J29" t="s">
        <v>935</v>
      </c>
      <c r="K29" t="s">
        <v>947</v>
      </c>
    </row>
    <row r="30" spans="1:11" x14ac:dyDescent="0.35">
      <c r="A30" t="s">
        <v>5</v>
      </c>
      <c r="B30" s="1">
        <v>43213</v>
      </c>
      <c r="C30" t="s">
        <v>6</v>
      </c>
      <c r="D30" t="s">
        <v>7</v>
      </c>
      <c r="E30" t="s">
        <v>8</v>
      </c>
      <c r="F30" t="s">
        <v>915</v>
      </c>
      <c r="G30" t="s">
        <v>916</v>
      </c>
      <c r="H30">
        <v>4</v>
      </c>
      <c r="I30" t="s">
        <v>917</v>
      </c>
      <c r="J30" t="s">
        <v>935</v>
      </c>
      <c r="K30" t="s">
        <v>947</v>
      </c>
    </row>
    <row r="31" spans="1:11" x14ac:dyDescent="0.35">
      <c r="A31" t="s">
        <v>422</v>
      </c>
      <c r="B31" s="1">
        <v>43214</v>
      </c>
      <c r="C31" t="s">
        <v>423</v>
      </c>
      <c r="D31" t="s">
        <v>380</v>
      </c>
      <c r="E31" t="s">
        <v>381</v>
      </c>
      <c r="F31" t="s">
        <v>915</v>
      </c>
      <c r="G31" t="s">
        <v>916</v>
      </c>
      <c r="H31">
        <v>4</v>
      </c>
      <c r="I31" t="s">
        <v>917</v>
      </c>
      <c r="J31" t="s">
        <v>935</v>
      </c>
      <c r="K31" t="s">
        <v>947</v>
      </c>
    </row>
    <row r="32" spans="1:11" x14ac:dyDescent="0.35">
      <c r="A32" t="s">
        <v>424</v>
      </c>
      <c r="B32" s="1">
        <v>43214</v>
      </c>
      <c r="C32" t="s">
        <v>425</v>
      </c>
      <c r="D32" t="s">
        <v>384</v>
      </c>
      <c r="E32" t="s">
        <v>385</v>
      </c>
      <c r="F32" t="s">
        <v>915</v>
      </c>
      <c r="G32" t="s">
        <v>916</v>
      </c>
      <c r="H32">
        <v>4</v>
      </c>
      <c r="I32" t="s">
        <v>917</v>
      </c>
      <c r="J32" t="s">
        <v>935</v>
      </c>
      <c r="K32" t="s">
        <v>879</v>
      </c>
    </row>
    <row r="33" spans="1:11" x14ac:dyDescent="0.35">
      <c r="A33" t="s">
        <v>426</v>
      </c>
      <c r="B33" s="1">
        <v>43214</v>
      </c>
      <c r="C33" t="s">
        <v>427</v>
      </c>
      <c r="D33" t="s">
        <v>388</v>
      </c>
      <c r="E33" t="s">
        <v>389</v>
      </c>
      <c r="F33" t="s">
        <v>915</v>
      </c>
      <c r="G33" t="s">
        <v>916</v>
      </c>
      <c r="H33">
        <v>4</v>
      </c>
      <c r="I33" t="s">
        <v>917</v>
      </c>
      <c r="J33" t="s">
        <v>935</v>
      </c>
      <c r="K33" t="s">
        <v>947</v>
      </c>
    </row>
    <row r="34" spans="1:11" x14ac:dyDescent="0.35">
      <c r="A34" t="s">
        <v>428</v>
      </c>
      <c r="B34" s="1">
        <v>43214</v>
      </c>
      <c r="C34" t="s">
        <v>429</v>
      </c>
      <c r="D34" t="s">
        <v>392</v>
      </c>
      <c r="E34" t="s">
        <v>389</v>
      </c>
      <c r="F34" t="s">
        <v>915</v>
      </c>
      <c r="G34" t="s">
        <v>916</v>
      </c>
      <c r="H34">
        <v>4</v>
      </c>
      <c r="I34" t="s">
        <v>917</v>
      </c>
      <c r="J34" t="s">
        <v>935</v>
      </c>
      <c r="K34" t="s">
        <v>947</v>
      </c>
    </row>
    <row r="35" spans="1:11" x14ac:dyDescent="0.35">
      <c r="A35" t="s">
        <v>430</v>
      </c>
      <c r="B35" s="1">
        <v>43215</v>
      </c>
      <c r="C35" t="s">
        <v>431</v>
      </c>
      <c r="D35" t="s">
        <v>395</v>
      </c>
      <c r="E35" t="s">
        <v>396</v>
      </c>
      <c r="F35" t="s">
        <v>915</v>
      </c>
      <c r="G35" t="s">
        <v>916</v>
      </c>
      <c r="H35">
        <v>4</v>
      </c>
      <c r="I35" t="s">
        <v>917</v>
      </c>
      <c r="J35" t="s">
        <v>935</v>
      </c>
      <c r="K35" t="s">
        <v>947</v>
      </c>
    </row>
    <row r="36" spans="1:11" x14ac:dyDescent="0.35">
      <c r="A36" t="s">
        <v>432</v>
      </c>
      <c r="B36" s="1">
        <v>43216</v>
      </c>
      <c r="C36" t="s">
        <v>433</v>
      </c>
      <c r="D36" t="s">
        <v>399</v>
      </c>
      <c r="E36" t="s">
        <v>400</v>
      </c>
      <c r="F36" t="s">
        <v>915</v>
      </c>
      <c r="G36" t="s">
        <v>916</v>
      </c>
      <c r="H36">
        <v>4</v>
      </c>
      <c r="I36" t="s">
        <v>917</v>
      </c>
      <c r="J36" t="s">
        <v>935</v>
      </c>
      <c r="K36" t="s">
        <v>947</v>
      </c>
    </row>
    <row r="37" spans="1:11" x14ac:dyDescent="0.35">
      <c r="A37" t="s">
        <v>434</v>
      </c>
      <c r="B37" s="1">
        <v>43216</v>
      </c>
      <c r="C37" t="s">
        <v>326</v>
      </c>
      <c r="D37" t="s">
        <v>403</v>
      </c>
      <c r="E37" t="s">
        <v>403</v>
      </c>
      <c r="F37" t="s">
        <v>915</v>
      </c>
      <c r="G37" t="s">
        <v>916</v>
      </c>
      <c r="H37">
        <v>4</v>
      </c>
      <c r="I37" t="s">
        <v>917</v>
      </c>
      <c r="J37" t="s">
        <v>935</v>
      </c>
      <c r="K37" t="s">
        <v>947</v>
      </c>
    </row>
    <row r="38" spans="1:11" x14ac:dyDescent="0.35">
      <c r="A38" t="s">
        <v>435</v>
      </c>
      <c r="B38" s="1">
        <v>43216</v>
      </c>
      <c r="C38" t="s">
        <v>436</v>
      </c>
      <c r="D38" t="s">
        <v>406</v>
      </c>
      <c r="E38" t="s">
        <v>407</v>
      </c>
      <c r="F38" t="s">
        <v>915</v>
      </c>
      <c r="G38" t="s">
        <v>916</v>
      </c>
      <c r="H38">
        <v>4</v>
      </c>
      <c r="I38" t="s">
        <v>917</v>
      </c>
      <c r="J38" t="s">
        <v>935</v>
      </c>
      <c r="K38" t="s">
        <v>879</v>
      </c>
    </row>
    <row r="39" spans="1:11" x14ac:dyDescent="0.35">
      <c r="A39" t="s">
        <v>231</v>
      </c>
      <c r="B39" s="1">
        <v>43216</v>
      </c>
      <c r="C39" t="s">
        <v>232</v>
      </c>
      <c r="D39" t="s">
        <v>193</v>
      </c>
      <c r="E39" t="s">
        <v>230</v>
      </c>
      <c r="F39" t="s">
        <v>915</v>
      </c>
      <c r="G39" t="s">
        <v>916</v>
      </c>
      <c r="H39">
        <v>4</v>
      </c>
      <c r="I39" t="s">
        <v>917</v>
      </c>
      <c r="J39" t="s">
        <v>935</v>
      </c>
      <c r="K39" t="s">
        <v>879</v>
      </c>
    </row>
    <row r="40" spans="1:11" x14ac:dyDescent="0.35">
      <c r="A40" t="s">
        <v>9</v>
      </c>
      <c r="B40" s="1">
        <v>43216</v>
      </c>
      <c r="C40" t="s">
        <v>10</v>
      </c>
      <c r="D40" t="s">
        <v>7</v>
      </c>
      <c r="E40" t="s">
        <v>8</v>
      </c>
      <c r="F40" t="s">
        <v>915</v>
      </c>
      <c r="G40" t="s">
        <v>916</v>
      </c>
      <c r="H40">
        <v>4</v>
      </c>
      <c r="I40" t="s">
        <v>917</v>
      </c>
      <c r="J40" t="s">
        <v>935</v>
      </c>
      <c r="K40" t="s">
        <v>879</v>
      </c>
    </row>
    <row r="41" spans="1:11" x14ac:dyDescent="0.35">
      <c r="A41" t="s">
        <v>197</v>
      </c>
      <c r="B41" s="1">
        <v>43216</v>
      </c>
      <c r="C41" t="s">
        <v>198</v>
      </c>
      <c r="D41" t="s">
        <v>193</v>
      </c>
      <c r="E41" t="s">
        <v>194</v>
      </c>
      <c r="F41" t="s">
        <v>915</v>
      </c>
      <c r="G41" t="s">
        <v>916</v>
      </c>
      <c r="H41">
        <v>4</v>
      </c>
      <c r="I41" t="s">
        <v>917</v>
      </c>
      <c r="J41" t="s">
        <v>935</v>
      </c>
      <c r="K41" t="s">
        <v>879</v>
      </c>
    </row>
    <row r="42" spans="1:11" x14ac:dyDescent="0.35">
      <c r="A42" t="s">
        <v>151</v>
      </c>
      <c r="B42" s="1">
        <v>43217</v>
      </c>
      <c r="C42" t="s">
        <v>152</v>
      </c>
      <c r="D42" t="s">
        <v>7</v>
      </c>
      <c r="E42" t="s">
        <v>148</v>
      </c>
      <c r="F42" t="s">
        <v>915</v>
      </c>
      <c r="G42" t="s">
        <v>916</v>
      </c>
      <c r="H42">
        <v>4</v>
      </c>
      <c r="I42" t="s">
        <v>917</v>
      </c>
      <c r="J42" t="s">
        <v>935</v>
      </c>
      <c r="K42" t="s">
        <v>947</v>
      </c>
    </row>
    <row r="43" spans="1:11" x14ac:dyDescent="0.35">
      <c r="A43" t="s">
        <v>437</v>
      </c>
      <c r="B43" s="1">
        <v>43217</v>
      </c>
      <c r="C43" t="s">
        <v>438</v>
      </c>
      <c r="D43" t="s">
        <v>357</v>
      </c>
      <c r="E43" t="s">
        <v>358</v>
      </c>
      <c r="F43" t="s">
        <v>915</v>
      </c>
      <c r="G43" t="s">
        <v>916</v>
      </c>
      <c r="H43">
        <v>4</v>
      </c>
      <c r="I43" t="s">
        <v>917</v>
      </c>
      <c r="J43" t="s">
        <v>935</v>
      </c>
      <c r="K43" t="s">
        <v>947</v>
      </c>
    </row>
    <row r="44" spans="1:11" x14ac:dyDescent="0.35">
      <c r="A44" t="s">
        <v>439</v>
      </c>
      <c r="B44" s="1">
        <v>43217</v>
      </c>
      <c r="C44" t="s">
        <v>440</v>
      </c>
      <c r="D44" t="s">
        <v>361</v>
      </c>
      <c r="E44" t="s">
        <v>362</v>
      </c>
      <c r="F44" t="s">
        <v>915</v>
      </c>
      <c r="G44" t="s">
        <v>916</v>
      </c>
      <c r="H44">
        <v>4</v>
      </c>
      <c r="I44" t="s">
        <v>917</v>
      </c>
      <c r="J44" t="s">
        <v>935</v>
      </c>
      <c r="K44" t="s">
        <v>947</v>
      </c>
    </row>
    <row r="45" spans="1:11" x14ac:dyDescent="0.35">
      <c r="A45" t="s">
        <v>441</v>
      </c>
      <c r="B45" s="1">
        <v>43218</v>
      </c>
      <c r="C45" t="s">
        <v>442</v>
      </c>
      <c r="D45" t="s">
        <v>365</v>
      </c>
      <c r="E45" t="s">
        <v>366</v>
      </c>
      <c r="F45" t="s">
        <v>915</v>
      </c>
      <c r="G45" t="s">
        <v>916</v>
      </c>
      <c r="H45">
        <v>4</v>
      </c>
      <c r="I45" t="s">
        <v>917</v>
      </c>
      <c r="J45" t="s">
        <v>935</v>
      </c>
      <c r="K45" t="s">
        <v>879</v>
      </c>
    </row>
    <row r="46" spans="1:11" x14ac:dyDescent="0.35">
      <c r="A46" t="s">
        <v>443</v>
      </c>
      <c r="B46" s="1">
        <v>43219</v>
      </c>
      <c r="C46" t="s">
        <v>444</v>
      </c>
      <c r="D46" t="s">
        <v>369</v>
      </c>
      <c r="E46" t="s">
        <v>370</v>
      </c>
      <c r="F46" t="s">
        <v>915</v>
      </c>
      <c r="G46" t="s">
        <v>916</v>
      </c>
      <c r="H46">
        <v>4</v>
      </c>
      <c r="I46" t="s">
        <v>917</v>
      </c>
      <c r="J46" t="s">
        <v>935</v>
      </c>
      <c r="K46" t="s">
        <v>947</v>
      </c>
    </row>
    <row r="47" spans="1:11" x14ac:dyDescent="0.35">
      <c r="A47" t="s">
        <v>233</v>
      </c>
      <c r="B47" s="1">
        <v>43220</v>
      </c>
      <c r="C47" t="s">
        <v>234</v>
      </c>
      <c r="D47" t="s">
        <v>193</v>
      </c>
      <c r="E47" t="s">
        <v>230</v>
      </c>
      <c r="F47" t="s">
        <v>915</v>
      </c>
      <c r="G47" t="s">
        <v>916</v>
      </c>
      <c r="H47">
        <v>4</v>
      </c>
      <c r="I47" t="s">
        <v>917</v>
      </c>
      <c r="J47" t="s">
        <v>935</v>
      </c>
      <c r="K47" t="s">
        <v>947</v>
      </c>
    </row>
    <row r="48" spans="1:11" x14ac:dyDescent="0.35">
      <c r="A48" t="s">
        <v>11</v>
      </c>
      <c r="B48" s="1">
        <v>43221</v>
      </c>
      <c r="C48" t="s">
        <v>12</v>
      </c>
      <c r="D48" t="s">
        <v>7</v>
      </c>
      <c r="E48" t="s">
        <v>8</v>
      </c>
      <c r="F48" t="s">
        <v>915</v>
      </c>
      <c r="G48" t="s">
        <v>916</v>
      </c>
      <c r="H48">
        <v>5</v>
      </c>
      <c r="I48" t="s">
        <v>918</v>
      </c>
      <c r="J48" t="s">
        <v>918</v>
      </c>
      <c r="K48" t="s">
        <v>947</v>
      </c>
    </row>
    <row r="49" spans="1:11" x14ac:dyDescent="0.35">
      <c r="A49" t="s">
        <v>445</v>
      </c>
      <c r="B49" s="1">
        <v>43221</v>
      </c>
      <c r="C49" t="s">
        <v>446</v>
      </c>
      <c r="D49" t="s">
        <v>380</v>
      </c>
      <c r="E49" t="s">
        <v>381</v>
      </c>
      <c r="F49" t="s">
        <v>915</v>
      </c>
      <c r="G49" t="s">
        <v>916</v>
      </c>
      <c r="H49">
        <v>5</v>
      </c>
      <c r="I49" t="s">
        <v>918</v>
      </c>
      <c r="J49" t="s">
        <v>918</v>
      </c>
      <c r="K49" t="s">
        <v>947</v>
      </c>
    </row>
    <row r="50" spans="1:11" x14ac:dyDescent="0.35">
      <c r="A50" t="s">
        <v>447</v>
      </c>
      <c r="B50" s="1">
        <v>43223</v>
      </c>
      <c r="C50" t="s">
        <v>448</v>
      </c>
      <c r="D50" t="s">
        <v>384</v>
      </c>
      <c r="E50" t="s">
        <v>385</v>
      </c>
      <c r="F50" t="s">
        <v>915</v>
      </c>
      <c r="G50" t="s">
        <v>916</v>
      </c>
      <c r="H50">
        <v>5</v>
      </c>
      <c r="I50" t="s">
        <v>918</v>
      </c>
      <c r="J50" t="s">
        <v>918</v>
      </c>
      <c r="K50" t="s">
        <v>947</v>
      </c>
    </row>
    <row r="51" spans="1:11" x14ac:dyDescent="0.35">
      <c r="A51" t="s">
        <v>449</v>
      </c>
      <c r="B51" s="1">
        <v>43224</v>
      </c>
      <c r="C51" t="s">
        <v>450</v>
      </c>
      <c r="D51" t="s">
        <v>388</v>
      </c>
      <c r="E51" t="s">
        <v>389</v>
      </c>
      <c r="F51" t="s">
        <v>915</v>
      </c>
      <c r="G51" t="s">
        <v>916</v>
      </c>
      <c r="H51">
        <v>5</v>
      </c>
      <c r="I51" t="s">
        <v>918</v>
      </c>
      <c r="J51" t="s">
        <v>918</v>
      </c>
      <c r="K51" t="s">
        <v>947</v>
      </c>
    </row>
    <row r="52" spans="1:11" x14ac:dyDescent="0.35">
      <c r="A52" t="s">
        <v>451</v>
      </c>
      <c r="B52" s="1">
        <v>43225</v>
      </c>
      <c r="C52" t="s">
        <v>452</v>
      </c>
      <c r="D52" t="s">
        <v>392</v>
      </c>
      <c r="E52" t="s">
        <v>389</v>
      </c>
      <c r="F52" t="s">
        <v>915</v>
      </c>
      <c r="G52" t="s">
        <v>916</v>
      </c>
      <c r="H52">
        <v>5</v>
      </c>
      <c r="I52" t="s">
        <v>918</v>
      </c>
      <c r="J52" t="s">
        <v>918</v>
      </c>
      <c r="K52" t="s">
        <v>947</v>
      </c>
    </row>
    <row r="53" spans="1:11" x14ac:dyDescent="0.35">
      <c r="A53" t="s">
        <v>235</v>
      </c>
      <c r="B53" s="1">
        <v>43226</v>
      </c>
      <c r="C53" t="s">
        <v>236</v>
      </c>
      <c r="D53" t="s">
        <v>193</v>
      </c>
      <c r="E53" t="s">
        <v>230</v>
      </c>
      <c r="F53" t="s">
        <v>915</v>
      </c>
      <c r="G53" t="s">
        <v>916</v>
      </c>
      <c r="H53">
        <v>5</v>
      </c>
      <c r="I53" t="s">
        <v>918</v>
      </c>
      <c r="J53" t="s">
        <v>918</v>
      </c>
      <c r="K53" t="s">
        <v>947</v>
      </c>
    </row>
    <row r="54" spans="1:11" x14ac:dyDescent="0.35">
      <c r="A54" t="s">
        <v>13</v>
      </c>
      <c r="B54" s="1">
        <v>43227</v>
      </c>
      <c r="C54" t="s">
        <v>14</v>
      </c>
      <c r="D54" t="s">
        <v>7</v>
      </c>
      <c r="E54" t="s">
        <v>8</v>
      </c>
      <c r="F54" t="s">
        <v>915</v>
      </c>
      <c r="G54" t="s">
        <v>916</v>
      </c>
      <c r="H54">
        <v>5</v>
      </c>
      <c r="I54" t="s">
        <v>918</v>
      </c>
      <c r="J54" t="s">
        <v>918</v>
      </c>
      <c r="K54" t="s">
        <v>947</v>
      </c>
    </row>
    <row r="55" spans="1:11" x14ac:dyDescent="0.35">
      <c r="A55" t="s">
        <v>453</v>
      </c>
      <c r="B55" s="1">
        <v>43228</v>
      </c>
      <c r="C55" t="s">
        <v>454</v>
      </c>
      <c r="D55" t="s">
        <v>403</v>
      </c>
      <c r="E55" t="s">
        <v>403</v>
      </c>
      <c r="F55" t="s">
        <v>915</v>
      </c>
      <c r="G55" t="s">
        <v>916</v>
      </c>
      <c r="H55">
        <v>5</v>
      </c>
      <c r="I55" t="s">
        <v>918</v>
      </c>
      <c r="J55" t="s">
        <v>918</v>
      </c>
      <c r="K55" t="s">
        <v>947</v>
      </c>
    </row>
    <row r="56" spans="1:11" x14ac:dyDescent="0.35">
      <c r="A56" t="s">
        <v>455</v>
      </c>
      <c r="B56" s="1">
        <v>43228</v>
      </c>
      <c r="C56" t="s">
        <v>456</v>
      </c>
      <c r="D56" t="s">
        <v>406</v>
      </c>
      <c r="E56" t="s">
        <v>407</v>
      </c>
      <c r="F56" t="s">
        <v>915</v>
      </c>
      <c r="G56" t="s">
        <v>916</v>
      </c>
      <c r="H56">
        <v>5</v>
      </c>
      <c r="I56" t="s">
        <v>918</v>
      </c>
      <c r="J56" t="s">
        <v>918</v>
      </c>
      <c r="K56" t="s">
        <v>947</v>
      </c>
    </row>
    <row r="57" spans="1:11" x14ac:dyDescent="0.35">
      <c r="A57" t="s">
        <v>237</v>
      </c>
      <c r="B57" s="1">
        <v>43230</v>
      </c>
      <c r="C57" t="s">
        <v>238</v>
      </c>
      <c r="D57" t="s">
        <v>193</v>
      </c>
      <c r="E57" t="s">
        <v>230</v>
      </c>
      <c r="F57" t="s">
        <v>915</v>
      </c>
      <c r="G57" t="s">
        <v>916</v>
      </c>
      <c r="H57">
        <v>5</v>
      </c>
      <c r="I57" t="s">
        <v>918</v>
      </c>
      <c r="J57" t="s">
        <v>918</v>
      </c>
      <c r="K57" t="s">
        <v>947</v>
      </c>
    </row>
    <row r="58" spans="1:11" x14ac:dyDescent="0.35">
      <c r="A58" t="s">
        <v>15</v>
      </c>
      <c r="B58" s="1">
        <v>43231</v>
      </c>
      <c r="C58" t="s">
        <v>16</v>
      </c>
      <c r="D58" t="s">
        <v>7</v>
      </c>
      <c r="E58" t="s">
        <v>8</v>
      </c>
      <c r="F58" t="s">
        <v>915</v>
      </c>
      <c r="G58" t="s">
        <v>916</v>
      </c>
      <c r="H58">
        <v>5</v>
      </c>
      <c r="I58" t="s">
        <v>918</v>
      </c>
      <c r="J58" t="s">
        <v>918</v>
      </c>
      <c r="K58" t="s">
        <v>947</v>
      </c>
    </row>
    <row r="59" spans="1:11" x14ac:dyDescent="0.35">
      <c r="A59" t="s">
        <v>199</v>
      </c>
      <c r="B59" s="1">
        <v>43231</v>
      </c>
      <c r="C59" t="s">
        <v>123</v>
      </c>
      <c r="D59" t="s">
        <v>193</v>
      </c>
      <c r="E59" t="s">
        <v>194</v>
      </c>
      <c r="F59" t="s">
        <v>915</v>
      </c>
      <c r="G59" t="s">
        <v>916</v>
      </c>
      <c r="H59">
        <v>5</v>
      </c>
      <c r="I59" t="s">
        <v>918</v>
      </c>
      <c r="J59" t="s">
        <v>918</v>
      </c>
      <c r="K59" t="s">
        <v>879</v>
      </c>
    </row>
    <row r="60" spans="1:11" x14ac:dyDescent="0.35">
      <c r="A60" t="s">
        <v>153</v>
      </c>
      <c r="B60" s="1">
        <v>43233</v>
      </c>
      <c r="C60" t="s">
        <v>154</v>
      </c>
      <c r="D60" t="s">
        <v>7</v>
      </c>
      <c r="E60" t="s">
        <v>148</v>
      </c>
      <c r="F60" t="s">
        <v>915</v>
      </c>
      <c r="G60" t="s">
        <v>916</v>
      </c>
      <c r="H60">
        <v>5</v>
      </c>
      <c r="I60" t="s">
        <v>918</v>
      </c>
      <c r="J60" t="s">
        <v>918</v>
      </c>
      <c r="K60" t="s">
        <v>947</v>
      </c>
    </row>
    <row r="61" spans="1:11" x14ac:dyDescent="0.35">
      <c r="A61" t="s">
        <v>457</v>
      </c>
      <c r="B61" s="1">
        <v>43234</v>
      </c>
      <c r="C61" t="s">
        <v>458</v>
      </c>
      <c r="D61" t="s">
        <v>357</v>
      </c>
      <c r="E61" t="s">
        <v>358</v>
      </c>
      <c r="F61" t="s">
        <v>915</v>
      </c>
      <c r="G61" t="s">
        <v>916</v>
      </c>
      <c r="H61">
        <v>5</v>
      </c>
      <c r="I61" t="s">
        <v>918</v>
      </c>
      <c r="J61" t="s">
        <v>918</v>
      </c>
      <c r="K61" t="s">
        <v>879</v>
      </c>
    </row>
    <row r="62" spans="1:11" x14ac:dyDescent="0.35">
      <c r="A62" t="s">
        <v>459</v>
      </c>
      <c r="B62" s="1">
        <v>43235</v>
      </c>
      <c r="C62" t="s">
        <v>460</v>
      </c>
      <c r="D62" t="s">
        <v>361</v>
      </c>
      <c r="E62" t="s">
        <v>362</v>
      </c>
      <c r="F62" t="s">
        <v>915</v>
      </c>
      <c r="G62" t="s">
        <v>916</v>
      </c>
      <c r="H62">
        <v>5</v>
      </c>
      <c r="I62" t="s">
        <v>918</v>
      </c>
      <c r="J62" t="s">
        <v>918</v>
      </c>
      <c r="K62" t="s">
        <v>879</v>
      </c>
    </row>
    <row r="63" spans="1:11" x14ac:dyDescent="0.35">
      <c r="A63" t="s">
        <v>461</v>
      </c>
      <c r="B63" s="1">
        <v>43236</v>
      </c>
      <c r="C63" t="s">
        <v>121</v>
      </c>
      <c r="D63" t="s">
        <v>365</v>
      </c>
      <c r="E63" t="s">
        <v>366</v>
      </c>
      <c r="F63" t="s">
        <v>915</v>
      </c>
      <c r="G63" t="s">
        <v>916</v>
      </c>
      <c r="H63">
        <v>5</v>
      </c>
      <c r="I63" t="s">
        <v>918</v>
      </c>
      <c r="J63" t="s">
        <v>918</v>
      </c>
      <c r="K63" t="s">
        <v>947</v>
      </c>
    </row>
    <row r="64" spans="1:11" x14ac:dyDescent="0.35">
      <c r="A64" t="s">
        <v>462</v>
      </c>
      <c r="B64" s="1">
        <v>43237</v>
      </c>
      <c r="C64" t="s">
        <v>463</v>
      </c>
      <c r="D64" t="s">
        <v>369</v>
      </c>
      <c r="E64" t="s">
        <v>370</v>
      </c>
      <c r="F64" t="s">
        <v>915</v>
      </c>
      <c r="G64" t="s">
        <v>916</v>
      </c>
      <c r="H64">
        <v>5</v>
      </c>
      <c r="I64" t="s">
        <v>918</v>
      </c>
      <c r="J64" t="s">
        <v>918</v>
      </c>
      <c r="K64" t="s">
        <v>947</v>
      </c>
    </row>
    <row r="65" spans="1:11" x14ac:dyDescent="0.35">
      <c r="A65" t="s">
        <v>239</v>
      </c>
      <c r="B65" s="1">
        <v>43237</v>
      </c>
      <c r="C65" t="s">
        <v>240</v>
      </c>
      <c r="D65" t="s">
        <v>193</v>
      </c>
      <c r="E65" t="s">
        <v>230</v>
      </c>
      <c r="F65" t="s">
        <v>915</v>
      </c>
      <c r="G65" t="s">
        <v>916</v>
      </c>
      <c r="H65">
        <v>5</v>
      </c>
      <c r="I65" t="s">
        <v>918</v>
      </c>
      <c r="J65" t="s">
        <v>918</v>
      </c>
      <c r="K65" t="s">
        <v>947</v>
      </c>
    </row>
    <row r="66" spans="1:11" x14ac:dyDescent="0.35">
      <c r="A66" t="s">
        <v>17</v>
      </c>
      <c r="B66" s="1">
        <v>43239</v>
      </c>
      <c r="C66" t="s">
        <v>18</v>
      </c>
      <c r="D66" t="s">
        <v>7</v>
      </c>
      <c r="E66" t="s">
        <v>8</v>
      </c>
      <c r="F66" t="s">
        <v>915</v>
      </c>
      <c r="G66" t="s">
        <v>916</v>
      </c>
      <c r="H66">
        <v>5</v>
      </c>
      <c r="I66" t="s">
        <v>918</v>
      </c>
      <c r="J66" t="s">
        <v>918</v>
      </c>
      <c r="K66" t="s">
        <v>879</v>
      </c>
    </row>
    <row r="67" spans="1:11" x14ac:dyDescent="0.35">
      <c r="A67" t="s">
        <v>464</v>
      </c>
      <c r="B67" s="1">
        <v>43240</v>
      </c>
      <c r="C67" t="s">
        <v>465</v>
      </c>
      <c r="D67" t="s">
        <v>380</v>
      </c>
      <c r="E67" t="s">
        <v>381</v>
      </c>
      <c r="F67" t="s">
        <v>915</v>
      </c>
      <c r="G67" t="s">
        <v>916</v>
      </c>
      <c r="H67">
        <v>5</v>
      </c>
      <c r="I67" t="s">
        <v>918</v>
      </c>
      <c r="J67" t="s">
        <v>918</v>
      </c>
      <c r="K67" t="s">
        <v>947</v>
      </c>
    </row>
    <row r="68" spans="1:11" x14ac:dyDescent="0.35">
      <c r="A68" t="s">
        <v>466</v>
      </c>
      <c r="B68" s="1">
        <v>43241</v>
      </c>
      <c r="C68" t="s">
        <v>467</v>
      </c>
      <c r="D68" t="s">
        <v>384</v>
      </c>
      <c r="E68" t="s">
        <v>385</v>
      </c>
      <c r="F68" t="s">
        <v>915</v>
      </c>
      <c r="G68" t="s">
        <v>916</v>
      </c>
      <c r="H68">
        <v>5</v>
      </c>
      <c r="I68" t="s">
        <v>918</v>
      </c>
      <c r="J68" t="s">
        <v>918</v>
      </c>
      <c r="K68" t="s">
        <v>947</v>
      </c>
    </row>
    <row r="69" spans="1:11" x14ac:dyDescent="0.35">
      <c r="A69" t="s">
        <v>468</v>
      </c>
      <c r="B69" s="1">
        <v>43242</v>
      </c>
      <c r="C69" t="s">
        <v>469</v>
      </c>
      <c r="D69" t="s">
        <v>388</v>
      </c>
      <c r="E69" t="s">
        <v>389</v>
      </c>
      <c r="F69" t="s">
        <v>915</v>
      </c>
      <c r="G69" t="s">
        <v>916</v>
      </c>
      <c r="H69">
        <v>5</v>
      </c>
      <c r="I69" t="s">
        <v>918</v>
      </c>
      <c r="J69" t="s">
        <v>918</v>
      </c>
      <c r="K69" t="s">
        <v>947</v>
      </c>
    </row>
    <row r="70" spans="1:11" x14ac:dyDescent="0.35">
      <c r="A70" t="s">
        <v>470</v>
      </c>
      <c r="B70" s="1">
        <v>43243</v>
      </c>
      <c r="C70" t="s">
        <v>259</v>
      </c>
      <c r="D70" t="s">
        <v>392</v>
      </c>
      <c r="E70" t="s">
        <v>389</v>
      </c>
      <c r="F70" t="s">
        <v>915</v>
      </c>
      <c r="G70" t="s">
        <v>916</v>
      </c>
      <c r="H70">
        <v>5</v>
      </c>
      <c r="I70" t="s">
        <v>918</v>
      </c>
      <c r="J70" t="s">
        <v>918</v>
      </c>
      <c r="K70" t="s">
        <v>879</v>
      </c>
    </row>
    <row r="71" spans="1:11" x14ac:dyDescent="0.35">
      <c r="A71" t="s">
        <v>471</v>
      </c>
      <c r="B71" s="1">
        <v>43244</v>
      </c>
      <c r="C71" t="s">
        <v>340</v>
      </c>
      <c r="D71" t="s">
        <v>395</v>
      </c>
      <c r="E71" t="s">
        <v>396</v>
      </c>
      <c r="F71" t="s">
        <v>915</v>
      </c>
      <c r="G71" t="s">
        <v>916</v>
      </c>
      <c r="H71">
        <v>5</v>
      </c>
      <c r="I71" t="s">
        <v>918</v>
      </c>
      <c r="J71" t="s">
        <v>918</v>
      </c>
      <c r="K71" t="s">
        <v>879</v>
      </c>
    </row>
    <row r="72" spans="1:11" x14ac:dyDescent="0.35">
      <c r="A72" t="s">
        <v>472</v>
      </c>
      <c r="B72" s="1">
        <v>43245</v>
      </c>
      <c r="C72" t="s">
        <v>473</v>
      </c>
      <c r="D72" t="s">
        <v>399</v>
      </c>
      <c r="E72" t="s">
        <v>400</v>
      </c>
      <c r="F72" t="s">
        <v>915</v>
      </c>
      <c r="G72" t="s">
        <v>916</v>
      </c>
      <c r="H72">
        <v>5</v>
      </c>
      <c r="I72" t="s">
        <v>918</v>
      </c>
      <c r="J72" t="s">
        <v>918</v>
      </c>
      <c r="K72" t="s">
        <v>947</v>
      </c>
    </row>
    <row r="73" spans="1:11" x14ac:dyDescent="0.35">
      <c r="A73" t="s">
        <v>474</v>
      </c>
      <c r="B73" s="1">
        <v>43245</v>
      </c>
      <c r="C73" t="s">
        <v>475</v>
      </c>
      <c r="D73" t="s">
        <v>403</v>
      </c>
      <c r="E73" t="s">
        <v>403</v>
      </c>
      <c r="F73" t="s">
        <v>915</v>
      </c>
      <c r="G73" t="s">
        <v>916</v>
      </c>
      <c r="H73">
        <v>5</v>
      </c>
      <c r="I73" t="s">
        <v>918</v>
      </c>
      <c r="J73" t="s">
        <v>918</v>
      </c>
      <c r="K73" t="s">
        <v>947</v>
      </c>
    </row>
    <row r="74" spans="1:11" x14ac:dyDescent="0.35">
      <c r="A74" t="s">
        <v>476</v>
      </c>
      <c r="B74" s="1">
        <v>43247</v>
      </c>
      <c r="C74" t="s">
        <v>131</v>
      </c>
      <c r="D74" t="s">
        <v>406</v>
      </c>
      <c r="E74" t="s">
        <v>407</v>
      </c>
      <c r="F74" t="s">
        <v>915</v>
      </c>
      <c r="G74" t="s">
        <v>916</v>
      </c>
      <c r="H74">
        <v>5</v>
      </c>
      <c r="I74" t="s">
        <v>918</v>
      </c>
      <c r="J74" t="s">
        <v>918</v>
      </c>
      <c r="K74" t="s">
        <v>879</v>
      </c>
    </row>
    <row r="75" spans="1:11" x14ac:dyDescent="0.35">
      <c r="A75" t="s">
        <v>477</v>
      </c>
      <c r="B75" s="1">
        <v>43248</v>
      </c>
      <c r="C75" t="s">
        <v>478</v>
      </c>
      <c r="D75" t="s">
        <v>410</v>
      </c>
      <c r="E75" t="s">
        <v>411</v>
      </c>
      <c r="F75" t="s">
        <v>915</v>
      </c>
      <c r="G75" t="s">
        <v>916</v>
      </c>
      <c r="H75">
        <v>5</v>
      </c>
      <c r="I75" t="s">
        <v>918</v>
      </c>
      <c r="J75" t="s">
        <v>918</v>
      </c>
      <c r="K75" t="s">
        <v>947</v>
      </c>
    </row>
    <row r="76" spans="1:11" x14ac:dyDescent="0.35">
      <c r="A76" t="s">
        <v>479</v>
      </c>
      <c r="B76" s="1">
        <v>43248</v>
      </c>
      <c r="C76" t="s">
        <v>480</v>
      </c>
      <c r="D76" t="s">
        <v>353</v>
      </c>
      <c r="E76" t="s">
        <v>354</v>
      </c>
      <c r="F76" t="s">
        <v>915</v>
      </c>
      <c r="G76" t="s">
        <v>916</v>
      </c>
      <c r="H76">
        <v>5</v>
      </c>
      <c r="I76" t="s">
        <v>918</v>
      </c>
      <c r="J76" t="s">
        <v>918</v>
      </c>
      <c r="K76" t="s">
        <v>947</v>
      </c>
    </row>
    <row r="77" spans="1:11" x14ac:dyDescent="0.35">
      <c r="A77" t="s">
        <v>200</v>
      </c>
      <c r="B77" s="1">
        <v>43248</v>
      </c>
      <c r="C77" t="s">
        <v>125</v>
      </c>
      <c r="D77" t="s">
        <v>193</v>
      </c>
      <c r="E77" t="s">
        <v>194</v>
      </c>
      <c r="F77" t="s">
        <v>915</v>
      </c>
      <c r="G77" t="s">
        <v>916</v>
      </c>
      <c r="H77">
        <v>5</v>
      </c>
      <c r="I77" t="s">
        <v>918</v>
      </c>
      <c r="J77" t="s">
        <v>918</v>
      </c>
      <c r="K77" t="s">
        <v>947</v>
      </c>
    </row>
    <row r="78" spans="1:11" x14ac:dyDescent="0.35">
      <c r="A78" t="s">
        <v>155</v>
      </c>
      <c r="B78" s="1">
        <v>43251</v>
      </c>
      <c r="C78" t="s">
        <v>156</v>
      </c>
      <c r="D78" t="s">
        <v>7</v>
      </c>
      <c r="E78" t="s">
        <v>148</v>
      </c>
      <c r="F78" t="s">
        <v>915</v>
      </c>
      <c r="G78" t="s">
        <v>916</v>
      </c>
      <c r="H78">
        <v>5</v>
      </c>
      <c r="I78" t="s">
        <v>918</v>
      </c>
      <c r="J78" t="s">
        <v>918</v>
      </c>
      <c r="K78" t="s">
        <v>947</v>
      </c>
    </row>
    <row r="79" spans="1:11" x14ac:dyDescent="0.35">
      <c r="A79" t="s">
        <v>481</v>
      </c>
      <c r="B79" s="1">
        <v>43252</v>
      </c>
      <c r="C79" t="s">
        <v>482</v>
      </c>
      <c r="D79" t="s">
        <v>357</v>
      </c>
      <c r="E79" t="s">
        <v>358</v>
      </c>
      <c r="F79" t="s">
        <v>915</v>
      </c>
      <c r="G79" t="s">
        <v>916</v>
      </c>
      <c r="H79">
        <v>6</v>
      </c>
      <c r="I79" t="s">
        <v>919</v>
      </c>
      <c r="J79" t="s">
        <v>936</v>
      </c>
      <c r="K79" t="s">
        <v>947</v>
      </c>
    </row>
    <row r="80" spans="1:11" x14ac:dyDescent="0.35">
      <c r="A80" t="s">
        <v>483</v>
      </c>
      <c r="B80" s="1">
        <v>43253</v>
      </c>
      <c r="C80" t="s">
        <v>34</v>
      </c>
      <c r="D80" t="s">
        <v>361</v>
      </c>
      <c r="E80" t="s">
        <v>362</v>
      </c>
      <c r="F80" t="s">
        <v>915</v>
      </c>
      <c r="G80" t="s">
        <v>916</v>
      </c>
      <c r="H80">
        <v>6</v>
      </c>
      <c r="I80" t="s">
        <v>919</v>
      </c>
      <c r="J80" t="s">
        <v>936</v>
      </c>
      <c r="K80" t="s">
        <v>947</v>
      </c>
    </row>
    <row r="81" spans="1:11" x14ac:dyDescent="0.35">
      <c r="A81" t="s">
        <v>484</v>
      </c>
      <c r="B81" s="1">
        <v>43254</v>
      </c>
      <c r="C81" t="s">
        <v>485</v>
      </c>
      <c r="D81" t="s">
        <v>365</v>
      </c>
      <c r="E81" t="s">
        <v>366</v>
      </c>
      <c r="F81" t="s">
        <v>915</v>
      </c>
      <c r="G81" t="s">
        <v>916</v>
      </c>
      <c r="H81">
        <v>6</v>
      </c>
      <c r="I81" t="s">
        <v>919</v>
      </c>
      <c r="J81" t="s">
        <v>936</v>
      </c>
      <c r="K81" t="s">
        <v>947</v>
      </c>
    </row>
    <row r="82" spans="1:11" x14ac:dyDescent="0.35">
      <c r="A82" t="s">
        <v>241</v>
      </c>
      <c r="B82" s="1">
        <v>43255</v>
      </c>
      <c r="C82" t="s">
        <v>242</v>
      </c>
      <c r="D82" t="s">
        <v>193</v>
      </c>
      <c r="E82" t="s">
        <v>230</v>
      </c>
      <c r="F82" t="s">
        <v>915</v>
      </c>
      <c r="G82" t="s">
        <v>916</v>
      </c>
      <c r="H82">
        <v>6</v>
      </c>
      <c r="I82" t="s">
        <v>919</v>
      </c>
      <c r="J82" t="s">
        <v>936</v>
      </c>
      <c r="K82" t="s">
        <v>947</v>
      </c>
    </row>
    <row r="83" spans="1:11" x14ac:dyDescent="0.35">
      <c r="A83" t="s">
        <v>19</v>
      </c>
      <c r="B83" s="1">
        <v>43255</v>
      </c>
      <c r="C83" t="s">
        <v>20</v>
      </c>
      <c r="D83" t="s">
        <v>7</v>
      </c>
      <c r="E83" t="s">
        <v>8</v>
      </c>
      <c r="F83" t="s">
        <v>915</v>
      </c>
      <c r="G83" t="s">
        <v>916</v>
      </c>
      <c r="H83">
        <v>6</v>
      </c>
      <c r="I83" t="s">
        <v>919</v>
      </c>
      <c r="J83" t="s">
        <v>936</v>
      </c>
      <c r="K83" t="s">
        <v>947</v>
      </c>
    </row>
    <row r="84" spans="1:11" x14ac:dyDescent="0.35">
      <c r="A84" t="s">
        <v>21</v>
      </c>
      <c r="B84" s="1">
        <v>43255</v>
      </c>
      <c r="C84" t="s">
        <v>22</v>
      </c>
      <c r="D84" t="s">
        <v>7</v>
      </c>
      <c r="E84" t="s">
        <v>8</v>
      </c>
      <c r="F84" t="s">
        <v>915</v>
      </c>
      <c r="G84" t="s">
        <v>916</v>
      </c>
      <c r="H84">
        <v>6</v>
      </c>
      <c r="I84" t="s">
        <v>919</v>
      </c>
      <c r="J84" t="s">
        <v>936</v>
      </c>
      <c r="K84" t="s">
        <v>947</v>
      </c>
    </row>
    <row r="85" spans="1:11" x14ac:dyDescent="0.35">
      <c r="A85" t="s">
        <v>486</v>
      </c>
      <c r="B85" s="1">
        <v>43258</v>
      </c>
      <c r="C85" t="s">
        <v>487</v>
      </c>
      <c r="D85" t="s">
        <v>380</v>
      </c>
      <c r="E85" t="s">
        <v>381</v>
      </c>
      <c r="F85" t="s">
        <v>915</v>
      </c>
      <c r="G85" t="s">
        <v>916</v>
      </c>
      <c r="H85">
        <v>6</v>
      </c>
      <c r="I85" t="s">
        <v>919</v>
      </c>
      <c r="J85" t="s">
        <v>936</v>
      </c>
      <c r="K85" t="s">
        <v>947</v>
      </c>
    </row>
    <row r="86" spans="1:11" x14ac:dyDescent="0.35">
      <c r="A86" t="s">
        <v>488</v>
      </c>
      <c r="B86" s="1">
        <v>43259</v>
      </c>
      <c r="C86" t="s">
        <v>156</v>
      </c>
      <c r="D86" t="s">
        <v>384</v>
      </c>
      <c r="E86" t="s">
        <v>385</v>
      </c>
      <c r="F86" t="s">
        <v>915</v>
      </c>
      <c r="G86" t="s">
        <v>916</v>
      </c>
      <c r="H86">
        <v>6</v>
      </c>
      <c r="I86" t="s">
        <v>919</v>
      </c>
      <c r="J86" t="s">
        <v>936</v>
      </c>
      <c r="K86" t="s">
        <v>879</v>
      </c>
    </row>
    <row r="87" spans="1:11" x14ac:dyDescent="0.35">
      <c r="A87" t="s">
        <v>243</v>
      </c>
      <c r="B87" s="1">
        <v>43260</v>
      </c>
      <c r="C87" t="s">
        <v>244</v>
      </c>
      <c r="D87" t="s">
        <v>193</v>
      </c>
      <c r="E87" t="s">
        <v>230</v>
      </c>
      <c r="F87" t="s">
        <v>915</v>
      </c>
      <c r="G87" t="s">
        <v>916</v>
      </c>
      <c r="H87">
        <v>6</v>
      </c>
      <c r="I87" t="s">
        <v>919</v>
      </c>
      <c r="J87" t="s">
        <v>936</v>
      </c>
      <c r="K87" t="s">
        <v>879</v>
      </c>
    </row>
    <row r="88" spans="1:11" x14ac:dyDescent="0.35">
      <c r="A88" t="s">
        <v>23</v>
      </c>
      <c r="B88" s="1">
        <v>43261</v>
      </c>
      <c r="C88" t="s">
        <v>24</v>
      </c>
      <c r="D88" t="s">
        <v>7</v>
      </c>
      <c r="E88" t="s">
        <v>8</v>
      </c>
      <c r="F88" t="s">
        <v>915</v>
      </c>
      <c r="G88" t="s">
        <v>916</v>
      </c>
      <c r="H88">
        <v>6</v>
      </c>
      <c r="I88" t="s">
        <v>919</v>
      </c>
      <c r="J88" t="s">
        <v>936</v>
      </c>
      <c r="K88" t="s">
        <v>879</v>
      </c>
    </row>
    <row r="89" spans="1:11" x14ac:dyDescent="0.35">
      <c r="A89" t="s">
        <v>489</v>
      </c>
      <c r="B89" s="1">
        <v>43262</v>
      </c>
      <c r="C89" t="s">
        <v>423</v>
      </c>
      <c r="D89" t="s">
        <v>395</v>
      </c>
      <c r="E89" t="s">
        <v>396</v>
      </c>
      <c r="F89" t="s">
        <v>915</v>
      </c>
      <c r="G89" t="s">
        <v>916</v>
      </c>
      <c r="H89">
        <v>6</v>
      </c>
      <c r="I89" t="s">
        <v>919</v>
      </c>
      <c r="J89" t="s">
        <v>936</v>
      </c>
      <c r="K89" t="s">
        <v>947</v>
      </c>
    </row>
    <row r="90" spans="1:11" x14ac:dyDescent="0.35">
      <c r="A90" t="s">
        <v>245</v>
      </c>
      <c r="B90" s="1">
        <v>43262</v>
      </c>
      <c r="C90" t="s">
        <v>246</v>
      </c>
      <c r="D90" t="s">
        <v>193</v>
      </c>
      <c r="E90" t="s">
        <v>230</v>
      </c>
      <c r="F90" t="s">
        <v>915</v>
      </c>
      <c r="G90" t="s">
        <v>916</v>
      </c>
      <c r="H90">
        <v>6</v>
      </c>
      <c r="I90" t="s">
        <v>919</v>
      </c>
      <c r="J90" t="s">
        <v>936</v>
      </c>
      <c r="K90" t="s">
        <v>947</v>
      </c>
    </row>
    <row r="91" spans="1:11" x14ac:dyDescent="0.35">
      <c r="A91" t="s">
        <v>25</v>
      </c>
      <c r="B91" s="1">
        <v>43262</v>
      </c>
      <c r="C91" t="s">
        <v>26</v>
      </c>
      <c r="D91" t="s">
        <v>7</v>
      </c>
      <c r="E91" t="s">
        <v>8</v>
      </c>
      <c r="F91" t="s">
        <v>915</v>
      </c>
      <c r="G91" t="s">
        <v>916</v>
      </c>
      <c r="H91">
        <v>6</v>
      </c>
      <c r="I91" t="s">
        <v>919</v>
      </c>
      <c r="J91" t="s">
        <v>936</v>
      </c>
      <c r="K91" t="s">
        <v>947</v>
      </c>
    </row>
    <row r="92" spans="1:11" x14ac:dyDescent="0.35">
      <c r="A92" t="s">
        <v>247</v>
      </c>
      <c r="B92" s="1">
        <v>43265</v>
      </c>
      <c r="C92" t="s">
        <v>248</v>
      </c>
      <c r="D92" t="s">
        <v>193</v>
      </c>
      <c r="E92" t="s">
        <v>230</v>
      </c>
      <c r="F92" t="s">
        <v>915</v>
      </c>
      <c r="G92" t="s">
        <v>916</v>
      </c>
      <c r="H92">
        <v>6</v>
      </c>
      <c r="I92" t="s">
        <v>919</v>
      </c>
      <c r="J92" t="s">
        <v>936</v>
      </c>
      <c r="K92" t="s">
        <v>947</v>
      </c>
    </row>
    <row r="93" spans="1:11" x14ac:dyDescent="0.35">
      <c r="A93" t="s">
        <v>27</v>
      </c>
      <c r="B93" s="1">
        <v>43266</v>
      </c>
      <c r="C93" t="s">
        <v>28</v>
      </c>
      <c r="D93" t="s">
        <v>7</v>
      </c>
      <c r="E93" t="s">
        <v>8</v>
      </c>
      <c r="F93" t="s">
        <v>915</v>
      </c>
      <c r="G93" t="s">
        <v>916</v>
      </c>
      <c r="H93">
        <v>6</v>
      </c>
      <c r="I93" t="s">
        <v>919</v>
      </c>
      <c r="J93" t="s">
        <v>936</v>
      </c>
      <c r="K93" t="s">
        <v>879</v>
      </c>
    </row>
    <row r="94" spans="1:11" x14ac:dyDescent="0.35">
      <c r="A94" t="s">
        <v>249</v>
      </c>
      <c r="B94" s="1">
        <v>43267</v>
      </c>
      <c r="C94" t="s">
        <v>250</v>
      </c>
      <c r="D94" t="s">
        <v>193</v>
      </c>
      <c r="E94" t="s">
        <v>230</v>
      </c>
      <c r="F94" t="s">
        <v>915</v>
      </c>
      <c r="G94" t="s">
        <v>916</v>
      </c>
      <c r="H94">
        <v>6</v>
      </c>
      <c r="I94" t="s">
        <v>919</v>
      </c>
      <c r="J94" t="s">
        <v>936</v>
      </c>
      <c r="K94" t="s">
        <v>879</v>
      </c>
    </row>
    <row r="95" spans="1:11" x14ac:dyDescent="0.35">
      <c r="A95" t="s">
        <v>29</v>
      </c>
      <c r="B95" s="1">
        <v>43268</v>
      </c>
      <c r="C95" t="s">
        <v>30</v>
      </c>
      <c r="D95" t="s">
        <v>7</v>
      </c>
      <c r="E95" t="s">
        <v>8</v>
      </c>
      <c r="F95" t="s">
        <v>915</v>
      </c>
      <c r="G95" t="s">
        <v>916</v>
      </c>
      <c r="H95">
        <v>6</v>
      </c>
      <c r="I95" t="s">
        <v>919</v>
      </c>
      <c r="J95" t="s">
        <v>936</v>
      </c>
      <c r="K95" t="s">
        <v>879</v>
      </c>
    </row>
    <row r="96" spans="1:11" x14ac:dyDescent="0.35">
      <c r="A96" t="s">
        <v>157</v>
      </c>
      <c r="B96" s="1">
        <v>43269</v>
      </c>
      <c r="C96" t="s">
        <v>158</v>
      </c>
      <c r="D96" t="s">
        <v>7</v>
      </c>
      <c r="E96" t="s">
        <v>148</v>
      </c>
      <c r="F96" t="s">
        <v>915</v>
      </c>
      <c r="G96" t="s">
        <v>916</v>
      </c>
      <c r="H96">
        <v>6</v>
      </c>
      <c r="I96" t="s">
        <v>919</v>
      </c>
      <c r="J96" t="s">
        <v>936</v>
      </c>
      <c r="K96" t="s">
        <v>947</v>
      </c>
    </row>
    <row r="97" spans="1:11" x14ac:dyDescent="0.35">
      <c r="A97" t="s">
        <v>490</v>
      </c>
      <c r="B97" s="1">
        <v>43269</v>
      </c>
      <c r="C97" t="s">
        <v>491</v>
      </c>
      <c r="D97" t="s">
        <v>357</v>
      </c>
      <c r="E97" t="s">
        <v>358</v>
      </c>
      <c r="F97" t="s">
        <v>915</v>
      </c>
      <c r="G97" t="s">
        <v>916</v>
      </c>
      <c r="H97">
        <v>6</v>
      </c>
      <c r="I97" t="s">
        <v>919</v>
      </c>
      <c r="J97" t="s">
        <v>936</v>
      </c>
      <c r="K97" t="s">
        <v>879</v>
      </c>
    </row>
    <row r="98" spans="1:11" x14ac:dyDescent="0.35">
      <c r="A98" t="s">
        <v>492</v>
      </c>
      <c r="B98" s="1">
        <v>43269</v>
      </c>
      <c r="C98" t="s">
        <v>493</v>
      </c>
      <c r="D98" t="s">
        <v>361</v>
      </c>
      <c r="E98" t="s">
        <v>362</v>
      </c>
      <c r="F98" t="s">
        <v>915</v>
      </c>
      <c r="G98" t="s">
        <v>916</v>
      </c>
      <c r="H98">
        <v>6</v>
      </c>
      <c r="I98" t="s">
        <v>919</v>
      </c>
      <c r="J98" t="s">
        <v>936</v>
      </c>
      <c r="K98" t="s">
        <v>879</v>
      </c>
    </row>
    <row r="99" spans="1:11" x14ac:dyDescent="0.35">
      <c r="A99" t="s">
        <v>494</v>
      </c>
      <c r="B99" s="1">
        <v>43272</v>
      </c>
      <c r="C99" t="s">
        <v>495</v>
      </c>
      <c r="D99" t="s">
        <v>365</v>
      </c>
      <c r="E99" t="s">
        <v>366</v>
      </c>
      <c r="F99" t="s">
        <v>915</v>
      </c>
      <c r="G99" t="s">
        <v>916</v>
      </c>
      <c r="H99">
        <v>6</v>
      </c>
      <c r="I99" t="s">
        <v>919</v>
      </c>
      <c r="J99" t="s">
        <v>936</v>
      </c>
      <c r="K99" t="s">
        <v>947</v>
      </c>
    </row>
    <row r="100" spans="1:11" x14ac:dyDescent="0.35">
      <c r="A100" t="s">
        <v>496</v>
      </c>
      <c r="B100" s="1">
        <v>43273</v>
      </c>
      <c r="C100" t="s">
        <v>497</v>
      </c>
      <c r="D100" t="s">
        <v>369</v>
      </c>
      <c r="E100" t="s">
        <v>370</v>
      </c>
      <c r="F100" t="s">
        <v>915</v>
      </c>
      <c r="G100" t="s">
        <v>916</v>
      </c>
      <c r="H100">
        <v>6</v>
      </c>
      <c r="I100" t="s">
        <v>919</v>
      </c>
      <c r="J100" t="s">
        <v>936</v>
      </c>
      <c r="K100" t="s">
        <v>947</v>
      </c>
    </row>
    <row r="101" spans="1:11" x14ac:dyDescent="0.35">
      <c r="A101" t="s">
        <v>498</v>
      </c>
      <c r="B101" s="1">
        <v>43274</v>
      </c>
      <c r="C101" t="s">
        <v>499</v>
      </c>
      <c r="D101" t="s">
        <v>373</v>
      </c>
      <c r="E101" t="s">
        <v>374</v>
      </c>
      <c r="F101" t="s">
        <v>915</v>
      </c>
      <c r="G101" t="s">
        <v>916</v>
      </c>
      <c r="H101">
        <v>6</v>
      </c>
      <c r="I101" t="s">
        <v>919</v>
      </c>
      <c r="J101" t="s">
        <v>936</v>
      </c>
      <c r="K101" t="s">
        <v>947</v>
      </c>
    </row>
    <row r="102" spans="1:11" x14ac:dyDescent="0.35">
      <c r="A102" t="s">
        <v>500</v>
      </c>
      <c r="B102" s="1">
        <v>43275</v>
      </c>
      <c r="C102" t="s">
        <v>501</v>
      </c>
      <c r="D102" t="s">
        <v>377</v>
      </c>
      <c r="E102" t="s">
        <v>378</v>
      </c>
      <c r="F102" t="s">
        <v>915</v>
      </c>
      <c r="G102" t="s">
        <v>916</v>
      </c>
      <c r="H102">
        <v>6</v>
      </c>
      <c r="I102" t="s">
        <v>919</v>
      </c>
      <c r="J102" t="s">
        <v>936</v>
      </c>
      <c r="K102" t="s">
        <v>947</v>
      </c>
    </row>
    <row r="103" spans="1:11" x14ac:dyDescent="0.35">
      <c r="A103" t="s">
        <v>251</v>
      </c>
      <c r="B103" s="1">
        <v>43276</v>
      </c>
      <c r="C103" t="s">
        <v>252</v>
      </c>
      <c r="D103" t="s">
        <v>193</v>
      </c>
      <c r="E103" t="s">
        <v>230</v>
      </c>
      <c r="F103" t="s">
        <v>915</v>
      </c>
      <c r="G103" t="s">
        <v>916</v>
      </c>
      <c r="H103">
        <v>6</v>
      </c>
      <c r="I103" t="s">
        <v>919</v>
      </c>
      <c r="J103" t="s">
        <v>936</v>
      </c>
      <c r="K103" t="s">
        <v>947</v>
      </c>
    </row>
    <row r="104" spans="1:11" x14ac:dyDescent="0.35">
      <c r="A104" t="s">
        <v>31</v>
      </c>
      <c r="B104" s="1">
        <v>43277</v>
      </c>
      <c r="C104" t="s">
        <v>32</v>
      </c>
      <c r="D104" t="s">
        <v>7</v>
      </c>
      <c r="E104" t="s">
        <v>8</v>
      </c>
      <c r="F104" t="s">
        <v>915</v>
      </c>
      <c r="G104" t="s">
        <v>916</v>
      </c>
      <c r="H104">
        <v>6</v>
      </c>
      <c r="I104" t="s">
        <v>919</v>
      </c>
      <c r="J104" t="s">
        <v>936</v>
      </c>
      <c r="K104" t="s">
        <v>947</v>
      </c>
    </row>
    <row r="105" spans="1:11" x14ac:dyDescent="0.35">
      <c r="A105" t="s">
        <v>253</v>
      </c>
      <c r="B105" s="1">
        <v>43278</v>
      </c>
      <c r="C105" t="s">
        <v>254</v>
      </c>
      <c r="D105" t="s">
        <v>193</v>
      </c>
      <c r="E105" t="s">
        <v>230</v>
      </c>
      <c r="F105" t="s">
        <v>915</v>
      </c>
      <c r="G105" t="s">
        <v>916</v>
      </c>
      <c r="H105">
        <v>6</v>
      </c>
      <c r="I105" t="s">
        <v>919</v>
      </c>
      <c r="J105" t="s">
        <v>936</v>
      </c>
      <c r="K105" t="s">
        <v>947</v>
      </c>
    </row>
    <row r="106" spans="1:11" x14ac:dyDescent="0.35">
      <c r="A106" t="s">
        <v>33</v>
      </c>
      <c r="B106" s="1">
        <v>43279</v>
      </c>
      <c r="C106" t="s">
        <v>34</v>
      </c>
      <c r="D106" t="s">
        <v>7</v>
      </c>
      <c r="E106" t="s">
        <v>8</v>
      </c>
      <c r="F106" t="s">
        <v>915</v>
      </c>
      <c r="G106" t="s">
        <v>916</v>
      </c>
      <c r="H106">
        <v>6</v>
      </c>
      <c r="I106" t="s">
        <v>919</v>
      </c>
      <c r="J106" t="s">
        <v>936</v>
      </c>
      <c r="K106" t="s">
        <v>947</v>
      </c>
    </row>
    <row r="107" spans="1:11" x14ac:dyDescent="0.35">
      <c r="A107" t="s">
        <v>255</v>
      </c>
      <c r="B107" s="1">
        <v>43280</v>
      </c>
      <c r="C107" t="s">
        <v>256</v>
      </c>
      <c r="D107" t="s">
        <v>193</v>
      </c>
      <c r="E107" t="s">
        <v>230</v>
      </c>
      <c r="F107" t="s">
        <v>915</v>
      </c>
      <c r="G107" t="s">
        <v>916</v>
      </c>
      <c r="H107">
        <v>6</v>
      </c>
      <c r="I107" t="s">
        <v>919</v>
      </c>
      <c r="J107" t="s">
        <v>936</v>
      </c>
      <c r="K107" t="s">
        <v>947</v>
      </c>
    </row>
    <row r="108" spans="1:11" x14ac:dyDescent="0.35">
      <c r="A108" t="s">
        <v>35</v>
      </c>
      <c r="B108" s="1">
        <v>43281</v>
      </c>
      <c r="C108" t="s">
        <v>36</v>
      </c>
      <c r="D108" t="s">
        <v>7</v>
      </c>
      <c r="E108" t="s">
        <v>8</v>
      </c>
      <c r="F108" t="s">
        <v>915</v>
      </c>
      <c r="G108" t="s">
        <v>916</v>
      </c>
      <c r="H108">
        <v>6</v>
      </c>
      <c r="I108" t="s">
        <v>919</v>
      </c>
      <c r="J108" t="s">
        <v>936</v>
      </c>
      <c r="K108" t="s">
        <v>879</v>
      </c>
    </row>
    <row r="109" spans="1:11" x14ac:dyDescent="0.35">
      <c r="A109" t="s">
        <v>502</v>
      </c>
      <c r="B109" s="1">
        <v>43282</v>
      </c>
      <c r="C109" t="s">
        <v>503</v>
      </c>
      <c r="D109" t="s">
        <v>403</v>
      </c>
      <c r="E109" t="s">
        <v>403</v>
      </c>
      <c r="F109" t="s">
        <v>915</v>
      </c>
      <c r="G109" t="s">
        <v>920</v>
      </c>
      <c r="H109">
        <v>7</v>
      </c>
      <c r="I109" t="s">
        <v>921</v>
      </c>
      <c r="J109" t="s">
        <v>937</v>
      </c>
      <c r="K109" t="s">
        <v>947</v>
      </c>
    </row>
    <row r="110" spans="1:11" x14ac:dyDescent="0.35">
      <c r="A110" t="s">
        <v>257</v>
      </c>
      <c r="B110" s="1">
        <v>43282</v>
      </c>
      <c r="C110" t="s">
        <v>105</v>
      </c>
      <c r="D110" t="s">
        <v>193</v>
      </c>
      <c r="E110" t="s">
        <v>230</v>
      </c>
      <c r="F110" t="s">
        <v>915</v>
      </c>
      <c r="G110" t="s">
        <v>920</v>
      </c>
      <c r="H110">
        <v>7</v>
      </c>
      <c r="I110" t="s">
        <v>921</v>
      </c>
      <c r="J110" t="s">
        <v>937</v>
      </c>
      <c r="K110" t="s">
        <v>947</v>
      </c>
    </row>
    <row r="111" spans="1:11" x14ac:dyDescent="0.35">
      <c r="A111" t="s">
        <v>37</v>
      </c>
      <c r="B111" s="1">
        <v>43282</v>
      </c>
      <c r="C111" t="s">
        <v>38</v>
      </c>
      <c r="D111" t="s">
        <v>7</v>
      </c>
      <c r="E111" t="s">
        <v>8</v>
      </c>
      <c r="F111" t="s">
        <v>915</v>
      </c>
      <c r="G111" t="s">
        <v>920</v>
      </c>
      <c r="H111">
        <v>7</v>
      </c>
      <c r="I111" t="s">
        <v>921</v>
      </c>
      <c r="J111" t="s">
        <v>937</v>
      </c>
      <c r="K111" t="s">
        <v>947</v>
      </c>
    </row>
    <row r="112" spans="1:11" x14ac:dyDescent="0.35">
      <c r="A112" t="s">
        <v>39</v>
      </c>
      <c r="B112" s="1">
        <v>43282</v>
      </c>
      <c r="C112" t="s">
        <v>40</v>
      </c>
      <c r="D112" t="s">
        <v>7</v>
      </c>
      <c r="E112" t="s">
        <v>8</v>
      </c>
      <c r="F112" t="s">
        <v>915</v>
      </c>
      <c r="G112" t="s">
        <v>920</v>
      </c>
      <c r="H112">
        <v>7</v>
      </c>
      <c r="I112" t="s">
        <v>921</v>
      </c>
      <c r="J112" t="s">
        <v>937</v>
      </c>
      <c r="K112" t="s">
        <v>947</v>
      </c>
    </row>
    <row r="113" spans="1:11" x14ac:dyDescent="0.35">
      <c r="A113" t="s">
        <v>201</v>
      </c>
      <c r="B113" s="1">
        <v>43286</v>
      </c>
      <c r="C113" t="s">
        <v>202</v>
      </c>
      <c r="D113" t="s">
        <v>193</v>
      </c>
      <c r="E113" t="s">
        <v>194</v>
      </c>
      <c r="F113" t="s">
        <v>915</v>
      </c>
      <c r="G113" t="s">
        <v>920</v>
      </c>
      <c r="H113">
        <v>7</v>
      </c>
      <c r="I113" t="s">
        <v>921</v>
      </c>
      <c r="J113" t="s">
        <v>937</v>
      </c>
      <c r="K113" t="s">
        <v>947</v>
      </c>
    </row>
    <row r="114" spans="1:11" x14ac:dyDescent="0.35">
      <c r="A114" t="s">
        <v>159</v>
      </c>
      <c r="B114" s="1">
        <v>43287</v>
      </c>
      <c r="C114" t="s">
        <v>60</v>
      </c>
      <c r="D114" t="s">
        <v>7</v>
      </c>
      <c r="E114" t="s">
        <v>148</v>
      </c>
      <c r="F114" t="s">
        <v>915</v>
      </c>
      <c r="G114" t="s">
        <v>920</v>
      </c>
      <c r="H114">
        <v>7</v>
      </c>
      <c r="I114" t="s">
        <v>921</v>
      </c>
      <c r="J114" t="s">
        <v>937</v>
      </c>
      <c r="K114" t="s">
        <v>947</v>
      </c>
    </row>
    <row r="115" spans="1:11" x14ac:dyDescent="0.35">
      <c r="A115" t="s">
        <v>504</v>
      </c>
      <c r="B115" s="1">
        <v>43288</v>
      </c>
      <c r="C115" t="s">
        <v>505</v>
      </c>
      <c r="D115" t="s">
        <v>357</v>
      </c>
      <c r="E115" t="s">
        <v>358</v>
      </c>
      <c r="F115" t="s">
        <v>915</v>
      </c>
      <c r="G115" t="s">
        <v>920</v>
      </c>
      <c r="H115">
        <v>7</v>
      </c>
      <c r="I115" t="s">
        <v>921</v>
      </c>
      <c r="J115" t="s">
        <v>937</v>
      </c>
      <c r="K115" t="s">
        <v>947</v>
      </c>
    </row>
    <row r="116" spans="1:11" x14ac:dyDescent="0.35">
      <c r="A116" t="s">
        <v>506</v>
      </c>
      <c r="B116" s="1">
        <v>43289</v>
      </c>
      <c r="C116" t="s">
        <v>507</v>
      </c>
      <c r="D116" t="s">
        <v>361</v>
      </c>
      <c r="E116" t="s">
        <v>362</v>
      </c>
      <c r="F116" t="s">
        <v>915</v>
      </c>
      <c r="G116" t="s">
        <v>920</v>
      </c>
      <c r="H116">
        <v>7</v>
      </c>
      <c r="I116" t="s">
        <v>921</v>
      </c>
      <c r="J116" t="s">
        <v>937</v>
      </c>
      <c r="K116" t="s">
        <v>947</v>
      </c>
    </row>
    <row r="117" spans="1:11" x14ac:dyDescent="0.35">
      <c r="A117" t="s">
        <v>508</v>
      </c>
      <c r="B117" s="1">
        <v>43290</v>
      </c>
      <c r="C117" t="s">
        <v>509</v>
      </c>
      <c r="D117" t="s">
        <v>365</v>
      </c>
      <c r="E117" t="s">
        <v>366</v>
      </c>
      <c r="F117" t="s">
        <v>915</v>
      </c>
      <c r="G117" t="s">
        <v>920</v>
      </c>
      <c r="H117">
        <v>7</v>
      </c>
      <c r="I117" t="s">
        <v>921</v>
      </c>
      <c r="J117" t="s">
        <v>937</v>
      </c>
      <c r="K117" t="s">
        <v>879</v>
      </c>
    </row>
    <row r="118" spans="1:11" x14ac:dyDescent="0.35">
      <c r="A118" t="s">
        <v>510</v>
      </c>
      <c r="B118" s="1">
        <v>43291</v>
      </c>
      <c r="C118" t="s">
        <v>511</v>
      </c>
      <c r="D118" t="s">
        <v>369</v>
      </c>
      <c r="E118" t="s">
        <v>370</v>
      </c>
      <c r="F118" t="s">
        <v>915</v>
      </c>
      <c r="G118" t="s">
        <v>920</v>
      </c>
      <c r="H118">
        <v>7</v>
      </c>
      <c r="I118" t="s">
        <v>921</v>
      </c>
      <c r="J118" t="s">
        <v>937</v>
      </c>
      <c r="K118" t="s">
        <v>879</v>
      </c>
    </row>
    <row r="119" spans="1:11" x14ac:dyDescent="0.35">
      <c r="A119" t="s">
        <v>512</v>
      </c>
      <c r="B119" s="1">
        <v>43292</v>
      </c>
      <c r="C119" t="s">
        <v>277</v>
      </c>
      <c r="D119" t="s">
        <v>373</v>
      </c>
      <c r="E119" t="s">
        <v>374</v>
      </c>
      <c r="F119" t="s">
        <v>915</v>
      </c>
      <c r="G119" t="s">
        <v>920</v>
      </c>
      <c r="H119">
        <v>7</v>
      </c>
      <c r="I119" t="s">
        <v>921</v>
      </c>
      <c r="J119" t="s">
        <v>937</v>
      </c>
      <c r="K119" t="s">
        <v>879</v>
      </c>
    </row>
    <row r="120" spans="1:11" x14ac:dyDescent="0.35">
      <c r="A120" t="s">
        <v>513</v>
      </c>
      <c r="B120" s="1">
        <v>43293</v>
      </c>
      <c r="C120" t="s">
        <v>514</v>
      </c>
      <c r="D120" t="s">
        <v>377</v>
      </c>
      <c r="E120" t="s">
        <v>378</v>
      </c>
      <c r="F120" t="s">
        <v>915</v>
      </c>
      <c r="G120" t="s">
        <v>920</v>
      </c>
      <c r="H120">
        <v>7</v>
      </c>
      <c r="I120" t="s">
        <v>921</v>
      </c>
      <c r="J120" t="s">
        <v>937</v>
      </c>
      <c r="K120" t="s">
        <v>879</v>
      </c>
    </row>
    <row r="121" spans="1:11" x14ac:dyDescent="0.35">
      <c r="A121" t="s">
        <v>258</v>
      </c>
      <c r="B121" s="1">
        <v>43293</v>
      </c>
      <c r="C121" t="s">
        <v>259</v>
      </c>
      <c r="D121" t="s">
        <v>193</v>
      </c>
      <c r="E121" t="s">
        <v>230</v>
      </c>
      <c r="F121" t="s">
        <v>915</v>
      </c>
      <c r="G121" t="s">
        <v>920</v>
      </c>
      <c r="H121">
        <v>7</v>
      </c>
      <c r="I121" t="s">
        <v>921</v>
      </c>
      <c r="J121" t="s">
        <v>937</v>
      </c>
      <c r="K121" t="s">
        <v>879</v>
      </c>
    </row>
    <row r="122" spans="1:11" x14ac:dyDescent="0.35">
      <c r="A122" t="s">
        <v>41</v>
      </c>
      <c r="B122" s="1">
        <v>43293</v>
      </c>
      <c r="C122" t="s">
        <v>30</v>
      </c>
      <c r="D122" t="s">
        <v>7</v>
      </c>
      <c r="E122" t="s">
        <v>8</v>
      </c>
      <c r="F122" t="s">
        <v>915</v>
      </c>
      <c r="G122" t="s">
        <v>920</v>
      </c>
      <c r="H122">
        <v>7</v>
      </c>
      <c r="I122" t="s">
        <v>921</v>
      </c>
      <c r="J122" t="s">
        <v>937</v>
      </c>
      <c r="K122" t="s">
        <v>879</v>
      </c>
    </row>
    <row r="123" spans="1:11" x14ac:dyDescent="0.35">
      <c r="A123" t="s">
        <v>515</v>
      </c>
      <c r="B123" s="1">
        <v>43296</v>
      </c>
      <c r="C123" t="s">
        <v>516</v>
      </c>
      <c r="D123" t="s">
        <v>388</v>
      </c>
      <c r="E123" t="s">
        <v>389</v>
      </c>
      <c r="F123" t="s">
        <v>915</v>
      </c>
      <c r="G123" t="s">
        <v>920</v>
      </c>
      <c r="H123">
        <v>7</v>
      </c>
      <c r="I123" t="s">
        <v>921</v>
      </c>
      <c r="J123" t="s">
        <v>937</v>
      </c>
      <c r="K123" t="s">
        <v>947</v>
      </c>
    </row>
    <row r="124" spans="1:11" x14ac:dyDescent="0.35">
      <c r="A124" t="s">
        <v>517</v>
      </c>
      <c r="B124" s="1">
        <v>43297</v>
      </c>
      <c r="C124" t="s">
        <v>518</v>
      </c>
      <c r="D124" t="s">
        <v>392</v>
      </c>
      <c r="E124" t="s">
        <v>389</v>
      </c>
      <c r="F124" t="s">
        <v>915</v>
      </c>
      <c r="G124" t="s">
        <v>920</v>
      </c>
      <c r="H124">
        <v>7</v>
      </c>
      <c r="I124" t="s">
        <v>921</v>
      </c>
      <c r="J124" t="s">
        <v>937</v>
      </c>
      <c r="K124" t="s">
        <v>947</v>
      </c>
    </row>
    <row r="125" spans="1:11" x14ac:dyDescent="0.35">
      <c r="A125" t="s">
        <v>519</v>
      </c>
      <c r="B125" s="1">
        <v>43298</v>
      </c>
      <c r="C125" t="s">
        <v>520</v>
      </c>
      <c r="D125" t="s">
        <v>395</v>
      </c>
      <c r="E125" t="s">
        <v>396</v>
      </c>
      <c r="F125" t="s">
        <v>915</v>
      </c>
      <c r="G125" t="s">
        <v>920</v>
      </c>
      <c r="H125">
        <v>7</v>
      </c>
      <c r="I125" t="s">
        <v>921</v>
      </c>
      <c r="J125" t="s">
        <v>937</v>
      </c>
      <c r="K125" t="s">
        <v>947</v>
      </c>
    </row>
    <row r="126" spans="1:11" x14ac:dyDescent="0.35">
      <c r="A126" t="s">
        <v>260</v>
      </c>
      <c r="B126" s="1">
        <v>43299</v>
      </c>
      <c r="C126" t="s">
        <v>261</v>
      </c>
      <c r="D126" t="s">
        <v>193</v>
      </c>
      <c r="E126" t="s">
        <v>230</v>
      </c>
      <c r="F126" t="s">
        <v>915</v>
      </c>
      <c r="G126" t="s">
        <v>920</v>
      </c>
      <c r="H126">
        <v>7</v>
      </c>
      <c r="I126" t="s">
        <v>921</v>
      </c>
      <c r="J126" t="s">
        <v>937</v>
      </c>
      <c r="K126" t="s">
        <v>947</v>
      </c>
    </row>
    <row r="127" spans="1:11" x14ac:dyDescent="0.35">
      <c r="A127" t="s">
        <v>42</v>
      </c>
      <c r="B127" s="1">
        <v>43300</v>
      </c>
      <c r="C127" t="s">
        <v>24</v>
      </c>
      <c r="D127" t="s">
        <v>7</v>
      </c>
      <c r="E127" t="s">
        <v>8</v>
      </c>
      <c r="F127" t="s">
        <v>915</v>
      </c>
      <c r="G127" t="s">
        <v>920</v>
      </c>
      <c r="H127">
        <v>7</v>
      </c>
      <c r="I127" t="s">
        <v>921</v>
      </c>
      <c r="J127" t="s">
        <v>937</v>
      </c>
      <c r="K127" t="s">
        <v>947</v>
      </c>
    </row>
    <row r="128" spans="1:11" x14ac:dyDescent="0.35">
      <c r="A128" t="s">
        <v>521</v>
      </c>
      <c r="B128" s="1">
        <v>43301</v>
      </c>
      <c r="C128" t="s">
        <v>522</v>
      </c>
      <c r="D128" t="s">
        <v>406</v>
      </c>
      <c r="E128" t="s">
        <v>407</v>
      </c>
      <c r="F128" t="s">
        <v>915</v>
      </c>
      <c r="G128" t="s">
        <v>920</v>
      </c>
      <c r="H128">
        <v>7</v>
      </c>
      <c r="I128" t="s">
        <v>921</v>
      </c>
      <c r="J128" t="s">
        <v>937</v>
      </c>
      <c r="K128" t="s">
        <v>947</v>
      </c>
    </row>
    <row r="129" spans="1:11" x14ac:dyDescent="0.35">
      <c r="A129" t="s">
        <v>262</v>
      </c>
      <c r="B129" s="1">
        <v>43302</v>
      </c>
      <c r="C129" t="s">
        <v>263</v>
      </c>
      <c r="D129" t="s">
        <v>193</v>
      </c>
      <c r="E129" t="s">
        <v>230</v>
      </c>
      <c r="F129" t="s">
        <v>915</v>
      </c>
      <c r="G129" t="s">
        <v>920</v>
      </c>
      <c r="H129">
        <v>7</v>
      </c>
      <c r="I129" t="s">
        <v>921</v>
      </c>
      <c r="J129" t="s">
        <v>937</v>
      </c>
      <c r="K129" t="s">
        <v>947</v>
      </c>
    </row>
    <row r="130" spans="1:11" x14ac:dyDescent="0.35">
      <c r="A130" t="s">
        <v>43</v>
      </c>
      <c r="B130" s="1">
        <v>43303</v>
      </c>
      <c r="C130" t="s">
        <v>44</v>
      </c>
      <c r="D130" t="s">
        <v>7</v>
      </c>
      <c r="E130" t="s">
        <v>8</v>
      </c>
      <c r="F130" t="s">
        <v>915</v>
      </c>
      <c r="G130" t="s">
        <v>920</v>
      </c>
      <c r="H130">
        <v>7</v>
      </c>
      <c r="I130" t="s">
        <v>921</v>
      </c>
      <c r="J130" t="s">
        <v>937</v>
      </c>
      <c r="K130" t="s">
        <v>879</v>
      </c>
    </row>
    <row r="131" spans="1:11" x14ac:dyDescent="0.35">
      <c r="A131" t="s">
        <v>203</v>
      </c>
      <c r="B131" s="1">
        <v>43303</v>
      </c>
      <c r="C131" t="s">
        <v>204</v>
      </c>
      <c r="D131" t="s">
        <v>193</v>
      </c>
      <c r="E131" t="s">
        <v>194</v>
      </c>
      <c r="F131" t="s">
        <v>915</v>
      </c>
      <c r="G131" t="s">
        <v>920</v>
      </c>
      <c r="H131">
        <v>7</v>
      </c>
      <c r="I131" t="s">
        <v>921</v>
      </c>
      <c r="J131" t="s">
        <v>937</v>
      </c>
      <c r="K131" t="s">
        <v>947</v>
      </c>
    </row>
    <row r="132" spans="1:11" x14ac:dyDescent="0.35">
      <c r="A132" t="s">
        <v>160</v>
      </c>
      <c r="B132" s="1">
        <v>43303</v>
      </c>
      <c r="C132" t="s">
        <v>161</v>
      </c>
      <c r="D132" t="s">
        <v>7</v>
      </c>
      <c r="E132" t="s">
        <v>148</v>
      </c>
      <c r="F132" t="s">
        <v>915</v>
      </c>
      <c r="G132" t="s">
        <v>920</v>
      </c>
      <c r="H132">
        <v>7</v>
      </c>
      <c r="I132" t="s">
        <v>921</v>
      </c>
      <c r="J132" t="s">
        <v>937</v>
      </c>
      <c r="K132" t="s">
        <v>947</v>
      </c>
    </row>
    <row r="133" spans="1:11" x14ac:dyDescent="0.35">
      <c r="A133" t="s">
        <v>523</v>
      </c>
      <c r="B133" s="1">
        <v>43303</v>
      </c>
      <c r="C133" t="s">
        <v>524</v>
      </c>
      <c r="D133" t="s">
        <v>357</v>
      </c>
      <c r="E133" t="s">
        <v>358</v>
      </c>
      <c r="F133" t="s">
        <v>915</v>
      </c>
      <c r="G133" t="s">
        <v>920</v>
      </c>
      <c r="H133">
        <v>7</v>
      </c>
      <c r="I133" t="s">
        <v>921</v>
      </c>
      <c r="J133" t="s">
        <v>937</v>
      </c>
      <c r="K133" t="s">
        <v>947</v>
      </c>
    </row>
    <row r="134" spans="1:11" x14ac:dyDescent="0.35">
      <c r="A134" t="s">
        <v>525</v>
      </c>
      <c r="B134" s="1">
        <v>43307</v>
      </c>
      <c r="C134" t="s">
        <v>526</v>
      </c>
      <c r="D134" t="s">
        <v>361</v>
      </c>
      <c r="E134" t="s">
        <v>362</v>
      </c>
      <c r="F134" t="s">
        <v>915</v>
      </c>
      <c r="G134" t="s">
        <v>920</v>
      </c>
      <c r="H134">
        <v>7</v>
      </c>
      <c r="I134" t="s">
        <v>921</v>
      </c>
      <c r="J134" t="s">
        <v>937</v>
      </c>
      <c r="K134" t="s">
        <v>947</v>
      </c>
    </row>
    <row r="135" spans="1:11" x14ac:dyDescent="0.35">
      <c r="A135" t="s">
        <v>527</v>
      </c>
      <c r="B135" s="1">
        <v>43308</v>
      </c>
      <c r="C135" t="s">
        <v>528</v>
      </c>
      <c r="D135" t="s">
        <v>365</v>
      </c>
      <c r="E135" t="s">
        <v>366</v>
      </c>
      <c r="F135" t="s">
        <v>915</v>
      </c>
      <c r="G135" t="s">
        <v>920</v>
      </c>
      <c r="H135">
        <v>7</v>
      </c>
      <c r="I135" t="s">
        <v>921</v>
      </c>
      <c r="J135" t="s">
        <v>937</v>
      </c>
      <c r="K135" t="s">
        <v>947</v>
      </c>
    </row>
    <row r="136" spans="1:11" x14ac:dyDescent="0.35">
      <c r="A136" t="s">
        <v>264</v>
      </c>
      <c r="B136" s="1">
        <v>43309</v>
      </c>
      <c r="C136" t="s">
        <v>265</v>
      </c>
      <c r="D136" t="s">
        <v>193</v>
      </c>
      <c r="E136" t="s">
        <v>230</v>
      </c>
      <c r="F136" t="s">
        <v>915</v>
      </c>
      <c r="G136" t="s">
        <v>920</v>
      </c>
      <c r="H136">
        <v>7</v>
      </c>
      <c r="I136" t="s">
        <v>921</v>
      </c>
      <c r="J136" t="s">
        <v>937</v>
      </c>
      <c r="K136" t="s">
        <v>947</v>
      </c>
    </row>
    <row r="137" spans="1:11" x14ac:dyDescent="0.35">
      <c r="A137" t="s">
        <v>45</v>
      </c>
      <c r="B137" s="1">
        <v>43310</v>
      </c>
      <c r="C137" t="s">
        <v>46</v>
      </c>
      <c r="D137" t="s">
        <v>7</v>
      </c>
      <c r="E137" t="s">
        <v>8</v>
      </c>
      <c r="F137" t="s">
        <v>915</v>
      </c>
      <c r="G137" t="s">
        <v>920</v>
      </c>
      <c r="H137">
        <v>7</v>
      </c>
      <c r="I137" t="s">
        <v>921</v>
      </c>
      <c r="J137" t="s">
        <v>937</v>
      </c>
      <c r="K137" t="s">
        <v>947</v>
      </c>
    </row>
    <row r="138" spans="1:11" x14ac:dyDescent="0.35">
      <c r="A138" t="s">
        <v>529</v>
      </c>
      <c r="B138" s="1">
        <v>43311</v>
      </c>
      <c r="C138" t="s">
        <v>530</v>
      </c>
      <c r="D138" t="s">
        <v>377</v>
      </c>
      <c r="E138" t="s">
        <v>378</v>
      </c>
      <c r="F138" t="s">
        <v>915</v>
      </c>
      <c r="G138" t="s">
        <v>920</v>
      </c>
      <c r="H138">
        <v>7</v>
      </c>
      <c r="I138" t="s">
        <v>921</v>
      </c>
      <c r="J138" t="s">
        <v>937</v>
      </c>
      <c r="K138" t="s">
        <v>947</v>
      </c>
    </row>
    <row r="139" spans="1:11" x14ac:dyDescent="0.35">
      <c r="A139" t="s">
        <v>266</v>
      </c>
      <c r="B139" s="1">
        <v>43312</v>
      </c>
      <c r="C139" t="s">
        <v>267</v>
      </c>
      <c r="D139" t="s">
        <v>193</v>
      </c>
      <c r="E139" t="s">
        <v>230</v>
      </c>
      <c r="F139" t="s">
        <v>915</v>
      </c>
      <c r="G139" t="s">
        <v>920</v>
      </c>
      <c r="H139">
        <v>7</v>
      </c>
      <c r="I139" t="s">
        <v>921</v>
      </c>
      <c r="J139" t="s">
        <v>937</v>
      </c>
      <c r="K139" t="s">
        <v>947</v>
      </c>
    </row>
    <row r="140" spans="1:11" x14ac:dyDescent="0.35">
      <c r="A140" t="s">
        <v>47</v>
      </c>
      <c r="B140" s="1">
        <v>43313</v>
      </c>
      <c r="C140" t="s">
        <v>48</v>
      </c>
      <c r="D140" t="s">
        <v>7</v>
      </c>
      <c r="E140" t="s">
        <v>8</v>
      </c>
      <c r="F140" t="s">
        <v>915</v>
      </c>
      <c r="G140" t="s">
        <v>920</v>
      </c>
      <c r="H140">
        <v>8</v>
      </c>
      <c r="I140" t="s">
        <v>922</v>
      </c>
      <c r="J140" t="s">
        <v>938</v>
      </c>
      <c r="K140" t="s">
        <v>947</v>
      </c>
    </row>
    <row r="141" spans="1:11" x14ac:dyDescent="0.35">
      <c r="A141" t="s">
        <v>531</v>
      </c>
      <c r="B141" s="1">
        <v>43314</v>
      </c>
      <c r="C141" t="s">
        <v>271</v>
      </c>
      <c r="D141" t="s">
        <v>388</v>
      </c>
      <c r="E141" t="s">
        <v>389</v>
      </c>
      <c r="F141" t="s">
        <v>915</v>
      </c>
      <c r="G141" t="s">
        <v>920</v>
      </c>
      <c r="H141">
        <v>8</v>
      </c>
      <c r="I141" t="s">
        <v>922</v>
      </c>
      <c r="J141" t="s">
        <v>938</v>
      </c>
      <c r="K141" t="s">
        <v>947</v>
      </c>
    </row>
    <row r="142" spans="1:11" x14ac:dyDescent="0.35">
      <c r="A142" t="s">
        <v>532</v>
      </c>
      <c r="B142" s="1">
        <v>43315</v>
      </c>
      <c r="C142" t="s">
        <v>533</v>
      </c>
      <c r="D142" t="s">
        <v>392</v>
      </c>
      <c r="E142" t="s">
        <v>389</v>
      </c>
      <c r="F142" t="s">
        <v>915</v>
      </c>
      <c r="G142" t="s">
        <v>920</v>
      </c>
      <c r="H142">
        <v>8</v>
      </c>
      <c r="I142" t="s">
        <v>922</v>
      </c>
      <c r="J142" t="s">
        <v>938</v>
      </c>
      <c r="K142" t="s">
        <v>947</v>
      </c>
    </row>
    <row r="143" spans="1:11" x14ac:dyDescent="0.35">
      <c r="A143" t="s">
        <v>268</v>
      </c>
      <c r="B143" s="1">
        <v>43315</v>
      </c>
      <c r="C143" t="s">
        <v>269</v>
      </c>
      <c r="D143" t="s">
        <v>193</v>
      </c>
      <c r="E143" t="s">
        <v>230</v>
      </c>
      <c r="F143" t="s">
        <v>915</v>
      </c>
      <c r="G143" t="s">
        <v>920</v>
      </c>
      <c r="H143">
        <v>8</v>
      </c>
      <c r="I143" t="s">
        <v>922</v>
      </c>
      <c r="J143" t="s">
        <v>938</v>
      </c>
      <c r="K143" t="s">
        <v>947</v>
      </c>
    </row>
    <row r="144" spans="1:11" x14ac:dyDescent="0.35">
      <c r="A144" t="s">
        <v>49</v>
      </c>
      <c r="B144" s="1">
        <v>43315</v>
      </c>
      <c r="C144" t="s">
        <v>50</v>
      </c>
      <c r="D144" t="s">
        <v>7</v>
      </c>
      <c r="E144" t="s">
        <v>8</v>
      </c>
      <c r="F144" t="s">
        <v>915</v>
      </c>
      <c r="G144" t="s">
        <v>920</v>
      </c>
      <c r="H144">
        <v>8</v>
      </c>
      <c r="I144" t="s">
        <v>922</v>
      </c>
      <c r="J144" t="s">
        <v>938</v>
      </c>
      <c r="K144" t="s">
        <v>947</v>
      </c>
    </row>
    <row r="145" spans="1:11" x14ac:dyDescent="0.35">
      <c r="A145" t="s">
        <v>534</v>
      </c>
      <c r="B145" s="1">
        <v>43315</v>
      </c>
      <c r="C145" t="s">
        <v>535</v>
      </c>
      <c r="D145" t="s">
        <v>403</v>
      </c>
      <c r="E145" t="s">
        <v>403</v>
      </c>
      <c r="F145" t="s">
        <v>915</v>
      </c>
      <c r="G145" t="s">
        <v>920</v>
      </c>
      <c r="H145">
        <v>8</v>
      </c>
      <c r="I145" t="s">
        <v>922</v>
      </c>
      <c r="J145" t="s">
        <v>938</v>
      </c>
      <c r="K145" t="s">
        <v>947</v>
      </c>
    </row>
    <row r="146" spans="1:11" x14ac:dyDescent="0.35">
      <c r="A146" t="s">
        <v>536</v>
      </c>
      <c r="B146" s="1">
        <v>43319</v>
      </c>
      <c r="C146" t="s">
        <v>322</v>
      </c>
      <c r="D146" t="s">
        <v>406</v>
      </c>
      <c r="E146" t="s">
        <v>407</v>
      </c>
      <c r="F146" t="s">
        <v>915</v>
      </c>
      <c r="G146" t="s">
        <v>920</v>
      </c>
      <c r="H146">
        <v>8</v>
      </c>
      <c r="I146" t="s">
        <v>922</v>
      </c>
      <c r="J146" t="s">
        <v>938</v>
      </c>
      <c r="K146" t="s">
        <v>947</v>
      </c>
    </row>
    <row r="147" spans="1:11" x14ac:dyDescent="0.35">
      <c r="A147" t="s">
        <v>537</v>
      </c>
      <c r="B147" s="1">
        <v>43320</v>
      </c>
      <c r="C147" t="s">
        <v>538</v>
      </c>
      <c r="D147" t="s">
        <v>410</v>
      </c>
      <c r="E147" t="s">
        <v>411</v>
      </c>
      <c r="F147" t="s">
        <v>915</v>
      </c>
      <c r="G147" t="s">
        <v>920</v>
      </c>
      <c r="H147">
        <v>8</v>
      </c>
      <c r="I147" t="s">
        <v>922</v>
      </c>
      <c r="J147" t="s">
        <v>938</v>
      </c>
      <c r="K147" t="s">
        <v>947</v>
      </c>
    </row>
    <row r="148" spans="1:11" x14ac:dyDescent="0.35">
      <c r="A148" t="s">
        <v>539</v>
      </c>
      <c r="B148" s="1">
        <v>43321</v>
      </c>
      <c r="C148" t="s">
        <v>84</v>
      </c>
      <c r="D148" t="s">
        <v>353</v>
      </c>
      <c r="E148" t="s">
        <v>354</v>
      </c>
      <c r="F148" t="s">
        <v>915</v>
      </c>
      <c r="G148" t="s">
        <v>920</v>
      </c>
      <c r="H148">
        <v>8</v>
      </c>
      <c r="I148" t="s">
        <v>922</v>
      </c>
      <c r="J148" t="s">
        <v>938</v>
      </c>
      <c r="K148" t="s">
        <v>947</v>
      </c>
    </row>
    <row r="149" spans="1:11" x14ac:dyDescent="0.35">
      <c r="A149" t="s">
        <v>205</v>
      </c>
      <c r="B149" s="1">
        <v>43322</v>
      </c>
      <c r="C149" t="s">
        <v>206</v>
      </c>
      <c r="D149" t="s">
        <v>193</v>
      </c>
      <c r="E149" t="s">
        <v>194</v>
      </c>
      <c r="F149" t="s">
        <v>915</v>
      </c>
      <c r="G149" t="s">
        <v>920</v>
      </c>
      <c r="H149">
        <v>8</v>
      </c>
      <c r="I149" t="s">
        <v>922</v>
      </c>
      <c r="J149" t="s">
        <v>938</v>
      </c>
      <c r="K149" t="s">
        <v>879</v>
      </c>
    </row>
    <row r="150" spans="1:11" x14ac:dyDescent="0.35">
      <c r="A150" t="s">
        <v>162</v>
      </c>
      <c r="B150" s="1">
        <v>43323</v>
      </c>
      <c r="C150" t="s">
        <v>163</v>
      </c>
      <c r="D150" t="s">
        <v>7</v>
      </c>
      <c r="E150" t="s">
        <v>148</v>
      </c>
      <c r="F150" t="s">
        <v>915</v>
      </c>
      <c r="G150" t="s">
        <v>920</v>
      </c>
      <c r="H150">
        <v>8</v>
      </c>
      <c r="I150" t="s">
        <v>922</v>
      </c>
      <c r="J150" t="s">
        <v>938</v>
      </c>
      <c r="K150" t="s">
        <v>879</v>
      </c>
    </row>
    <row r="151" spans="1:11" x14ac:dyDescent="0.35">
      <c r="A151" t="s">
        <v>540</v>
      </c>
      <c r="B151" s="1">
        <v>43324</v>
      </c>
      <c r="C151" t="s">
        <v>541</v>
      </c>
      <c r="D151" t="s">
        <v>357</v>
      </c>
      <c r="E151" t="s">
        <v>358</v>
      </c>
      <c r="F151" t="s">
        <v>915</v>
      </c>
      <c r="G151" t="s">
        <v>920</v>
      </c>
      <c r="H151">
        <v>8</v>
      </c>
      <c r="I151" t="s">
        <v>922</v>
      </c>
      <c r="J151" t="s">
        <v>938</v>
      </c>
      <c r="K151" t="s">
        <v>879</v>
      </c>
    </row>
    <row r="152" spans="1:11" x14ac:dyDescent="0.35">
      <c r="A152" t="s">
        <v>270</v>
      </c>
      <c r="B152" s="1">
        <v>43325</v>
      </c>
      <c r="C152" t="s">
        <v>271</v>
      </c>
      <c r="D152" t="s">
        <v>193</v>
      </c>
      <c r="E152" t="s">
        <v>230</v>
      </c>
      <c r="F152" t="s">
        <v>915</v>
      </c>
      <c r="G152" t="s">
        <v>920</v>
      </c>
      <c r="H152">
        <v>8</v>
      </c>
      <c r="I152" t="s">
        <v>922</v>
      </c>
      <c r="J152" t="s">
        <v>938</v>
      </c>
      <c r="K152" t="s">
        <v>947</v>
      </c>
    </row>
    <row r="153" spans="1:11" x14ac:dyDescent="0.35">
      <c r="A153" t="s">
        <v>51</v>
      </c>
      <c r="B153" s="1">
        <v>43326</v>
      </c>
      <c r="C153" t="s">
        <v>52</v>
      </c>
      <c r="D153" t="s">
        <v>7</v>
      </c>
      <c r="E153" t="s">
        <v>8</v>
      </c>
      <c r="F153" t="s">
        <v>915</v>
      </c>
      <c r="G153" t="s">
        <v>920</v>
      </c>
      <c r="H153">
        <v>8</v>
      </c>
      <c r="I153" t="s">
        <v>922</v>
      </c>
      <c r="J153" t="s">
        <v>938</v>
      </c>
      <c r="K153" t="s">
        <v>947</v>
      </c>
    </row>
    <row r="154" spans="1:11" x14ac:dyDescent="0.35">
      <c r="A154" t="s">
        <v>272</v>
      </c>
      <c r="B154" s="1">
        <v>43326</v>
      </c>
      <c r="C154" t="s">
        <v>273</v>
      </c>
      <c r="D154" t="s">
        <v>193</v>
      </c>
      <c r="E154" t="s">
        <v>230</v>
      </c>
      <c r="F154" t="s">
        <v>915</v>
      </c>
      <c r="G154" t="s">
        <v>920</v>
      </c>
      <c r="H154">
        <v>8</v>
      </c>
      <c r="I154" t="s">
        <v>922</v>
      </c>
      <c r="J154" t="s">
        <v>938</v>
      </c>
      <c r="K154" t="s">
        <v>947</v>
      </c>
    </row>
    <row r="155" spans="1:11" x14ac:dyDescent="0.35">
      <c r="A155" t="s">
        <v>53</v>
      </c>
      <c r="B155" s="1">
        <v>43326</v>
      </c>
      <c r="C155" t="s">
        <v>54</v>
      </c>
      <c r="D155" t="s">
        <v>7</v>
      </c>
      <c r="E155" t="s">
        <v>8</v>
      </c>
      <c r="F155" t="s">
        <v>915</v>
      </c>
      <c r="G155" t="s">
        <v>920</v>
      </c>
      <c r="H155">
        <v>8</v>
      </c>
      <c r="I155" t="s">
        <v>922</v>
      </c>
      <c r="J155" t="s">
        <v>938</v>
      </c>
      <c r="K155" t="s">
        <v>879</v>
      </c>
    </row>
    <row r="156" spans="1:11" x14ac:dyDescent="0.35">
      <c r="A156" t="s">
        <v>542</v>
      </c>
      <c r="B156" s="1">
        <v>43329</v>
      </c>
      <c r="C156" t="s">
        <v>206</v>
      </c>
      <c r="D156" t="s">
        <v>377</v>
      </c>
      <c r="E156" t="s">
        <v>378</v>
      </c>
      <c r="F156" t="s">
        <v>915</v>
      </c>
      <c r="G156" t="s">
        <v>920</v>
      </c>
      <c r="H156">
        <v>8</v>
      </c>
      <c r="I156" t="s">
        <v>922</v>
      </c>
      <c r="J156" t="s">
        <v>938</v>
      </c>
      <c r="K156" t="s">
        <v>947</v>
      </c>
    </row>
    <row r="157" spans="1:11" x14ac:dyDescent="0.35">
      <c r="A157" t="s">
        <v>543</v>
      </c>
      <c r="B157" s="1">
        <v>43330</v>
      </c>
      <c r="C157" t="s">
        <v>544</v>
      </c>
      <c r="D157" t="s">
        <v>380</v>
      </c>
      <c r="E157" t="s">
        <v>381</v>
      </c>
      <c r="F157" t="s">
        <v>915</v>
      </c>
      <c r="G157" t="s">
        <v>920</v>
      </c>
      <c r="H157">
        <v>8</v>
      </c>
      <c r="I157" t="s">
        <v>922</v>
      </c>
      <c r="J157" t="s">
        <v>938</v>
      </c>
      <c r="K157" t="s">
        <v>947</v>
      </c>
    </row>
    <row r="158" spans="1:11" x14ac:dyDescent="0.35">
      <c r="A158" t="s">
        <v>545</v>
      </c>
      <c r="B158" s="1">
        <v>43331</v>
      </c>
      <c r="C158" t="s">
        <v>546</v>
      </c>
      <c r="D158" t="s">
        <v>384</v>
      </c>
      <c r="E158" t="s">
        <v>385</v>
      </c>
      <c r="F158" t="s">
        <v>915</v>
      </c>
      <c r="G158" t="s">
        <v>920</v>
      </c>
      <c r="H158">
        <v>8</v>
      </c>
      <c r="I158" t="s">
        <v>922</v>
      </c>
      <c r="J158" t="s">
        <v>938</v>
      </c>
      <c r="K158" t="s">
        <v>879</v>
      </c>
    </row>
    <row r="159" spans="1:11" x14ac:dyDescent="0.35">
      <c r="A159" t="s">
        <v>274</v>
      </c>
      <c r="B159" s="1">
        <v>43332</v>
      </c>
      <c r="C159" t="s">
        <v>275</v>
      </c>
      <c r="D159" t="s">
        <v>193</v>
      </c>
      <c r="E159" t="s">
        <v>230</v>
      </c>
      <c r="F159" t="s">
        <v>915</v>
      </c>
      <c r="G159" t="s">
        <v>920</v>
      </c>
      <c r="H159">
        <v>8</v>
      </c>
      <c r="I159" t="s">
        <v>922</v>
      </c>
      <c r="J159" t="s">
        <v>938</v>
      </c>
      <c r="K159" t="s">
        <v>947</v>
      </c>
    </row>
    <row r="160" spans="1:11" x14ac:dyDescent="0.35">
      <c r="A160" t="s">
        <v>55</v>
      </c>
      <c r="B160" s="1">
        <v>43333</v>
      </c>
      <c r="C160" t="s">
        <v>56</v>
      </c>
      <c r="D160" t="s">
        <v>7</v>
      </c>
      <c r="E160" t="s">
        <v>8</v>
      </c>
      <c r="F160" t="s">
        <v>915</v>
      </c>
      <c r="G160" t="s">
        <v>920</v>
      </c>
      <c r="H160">
        <v>8</v>
      </c>
      <c r="I160" t="s">
        <v>922</v>
      </c>
      <c r="J160" t="s">
        <v>938</v>
      </c>
      <c r="K160" t="s">
        <v>879</v>
      </c>
    </row>
    <row r="161" spans="1:11" x14ac:dyDescent="0.35">
      <c r="A161" t="s">
        <v>547</v>
      </c>
      <c r="B161" s="1">
        <v>43334</v>
      </c>
      <c r="C161" t="s">
        <v>48</v>
      </c>
      <c r="D161" t="s">
        <v>395</v>
      </c>
      <c r="E161" t="s">
        <v>396</v>
      </c>
      <c r="F161" t="s">
        <v>915</v>
      </c>
      <c r="G161" t="s">
        <v>920</v>
      </c>
      <c r="H161">
        <v>8</v>
      </c>
      <c r="I161" t="s">
        <v>922</v>
      </c>
      <c r="J161" t="s">
        <v>938</v>
      </c>
      <c r="K161" t="s">
        <v>947</v>
      </c>
    </row>
    <row r="162" spans="1:11" x14ac:dyDescent="0.35">
      <c r="A162" t="s">
        <v>548</v>
      </c>
      <c r="B162" s="1">
        <v>43335</v>
      </c>
      <c r="C162" t="s">
        <v>219</v>
      </c>
      <c r="D162" t="s">
        <v>399</v>
      </c>
      <c r="E162" t="s">
        <v>400</v>
      </c>
      <c r="F162" t="s">
        <v>915</v>
      </c>
      <c r="G162" t="s">
        <v>920</v>
      </c>
      <c r="H162">
        <v>8</v>
      </c>
      <c r="I162" t="s">
        <v>922</v>
      </c>
      <c r="J162" t="s">
        <v>938</v>
      </c>
      <c r="K162" t="s">
        <v>947</v>
      </c>
    </row>
    <row r="163" spans="1:11" x14ac:dyDescent="0.35">
      <c r="A163" t="s">
        <v>549</v>
      </c>
      <c r="B163" s="1">
        <v>43336</v>
      </c>
      <c r="C163" t="s">
        <v>423</v>
      </c>
      <c r="D163" t="s">
        <v>403</v>
      </c>
      <c r="E163" t="s">
        <v>403</v>
      </c>
      <c r="F163" t="s">
        <v>915</v>
      </c>
      <c r="G163" t="s">
        <v>920</v>
      </c>
      <c r="H163">
        <v>8</v>
      </c>
      <c r="I163" t="s">
        <v>922</v>
      </c>
      <c r="J163" t="s">
        <v>938</v>
      </c>
      <c r="K163" t="s">
        <v>947</v>
      </c>
    </row>
    <row r="164" spans="1:11" x14ac:dyDescent="0.35">
      <c r="A164" t="s">
        <v>276</v>
      </c>
      <c r="B164" s="1">
        <v>43337</v>
      </c>
      <c r="C164" t="s">
        <v>277</v>
      </c>
      <c r="D164" t="s">
        <v>193</v>
      </c>
      <c r="E164" t="s">
        <v>230</v>
      </c>
      <c r="F164" t="s">
        <v>915</v>
      </c>
      <c r="G164" t="s">
        <v>920</v>
      </c>
      <c r="H164">
        <v>8</v>
      </c>
      <c r="I164" t="s">
        <v>922</v>
      </c>
      <c r="J164" t="s">
        <v>938</v>
      </c>
      <c r="K164" t="s">
        <v>879</v>
      </c>
    </row>
    <row r="165" spans="1:11" x14ac:dyDescent="0.35">
      <c r="A165" t="s">
        <v>57</v>
      </c>
      <c r="B165" s="1">
        <v>43338</v>
      </c>
      <c r="C165" t="s">
        <v>58</v>
      </c>
      <c r="D165" t="s">
        <v>7</v>
      </c>
      <c r="E165" t="s">
        <v>8</v>
      </c>
      <c r="F165" t="s">
        <v>915</v>
      </c>
      <c r="G165" t="s">
        <v>920</v>
      </c>
      <c r="H165">
        <v>8</v>
      </c>
      <c r="I165" t="s">
        <v>922</v>
      </c>
      <c r="J165" t="s">
        <v>938</v>
      </c>
      <c r="K165" t="s">
        <v>947</v>
      </c>
    </row>
    <row r="166" spans="1:11" x14ac:dyDescent="0.35">
      <c r="A166" t="s">
        <v>550</v>
      </c>
      <c r="B166" s="1">
        <v>43339</v>
      </c>
      <c r="C166" t="s">
        <v>551</v>
      </c>
      <c r="D166" t="s">
        <v>353</v>
      </c>
      <c r="E166" t="s">
        <v>354</v>
      </c>
      <c r="F166" t="s">
        <v>915</v>
      </c>
      <c r="G166" t="s">
        <v>920</v>
      </c>
      <c r="H166">
        <v>8</v>
      </c>
      <c r="I166" t="s">
        <v>922</v>
      </c>
      <c r="J166" t="s">
        <v>938</v>
      </c>
      <c r="K166" t="s">
        <v>947</v>
      </c>
    </row>
    <row r="167" spans="1:11" x14ac:dyDescent="0.35">
      <c r="A167" t="s">
        <v>207</v>
      </c>
      <c r="B167" s="1">
        <v>43340</v>
      </c>
      <c r="C167" t="s">
        <v>208</v>
      </c>
      <c r="D167" t="s">
        <v>193</v>
      </c>
      <c r="E167" t="s">
        <v>194</v>
      </c>
      <c r="F167" t="s">
        <v>915</v>
      </c>
      <c r="G167" t="s">
        <v>920</v>
      </c>
      <c r="H167">
        <v>8</v>
      </c>
      <c r="I167" t="s">
        <v>922</v>
      </c>
      <c r="J167" t="s">
        <v>938</v>
      </c>
      <c r="K167" t="s">
        <v>947</v>
      </c>
    </row>
    <row r="168" spans="1:11" x14ac:dyDescent="0.35">
      <c r="A168" t="s">
        <v>164</v>
      </c>
      <c r="B168" s="1">
        <v>43341</v>
      </c>
      <c r="C168" t="s">
        <v>165</v>
      </c>
      <c r="D168" t="s">
        <v>7</v>
      </c>
      <c r="E168" t="s">
        <v>148</v>
      </c>
      <c r="F168" t="s">
        <v>915</v>
      </c>
      <c r="G168" t="s">
        <v>920</v>
      </c>
      <c r="H168">
        <v>8</v>
      </c>
      <c r="I168" t="s">
        <v>922</v>
      </c>
      <c r="J168" t="s">
        <v>938</v>
      </c>
      <c r="K168" t="s">
        <v>879</v>
      </c>
    </row>
    <row r="169" spans="1:11" x14ac:dyDescent="0.35">
      <c r="A169" t="s">
        <v>552</v>
      </c>
      <c r="B169" s="1">
        <v>43342</v>
      </c>
      <c r="C169" t="s">
        <v>277</v>
      </c>
      <c r="D169" t="s">
        <v>357</v>
      </c>
      <c r="E169" t="s">
        <v>358</v>
      </c>
      <c r="F169" t="s">
        <v>915</v>
      </c>
      <c r="G169" t="s">
        <v>920</v>
      </c>
      <c r="H169">
        <v>8</v>
      </c>
      <c r="I169" t="s">
        <v>922</v>
      </c>
      <c r="J169" t="s">
        <v>938</v>
      </c>
      <c r="K169" t="s">
        <v>947</v>
      </c>
    </row>
    <row r="170" spans="1:11" x14ac:dyDescent="0.35">
      <c r="A170" t="s">
        <v>553</v>
      </c>
      <c r="B170" s="1">
        <v>43343</v>
      </c>
      <c r="C170" t="s">
        <v>554</v>
      </c>
      <c r="D170" t="s">
        <v>361</v>
      </c>
      <c r="E170" t="s">
        <v>362</v>
      </c>
      <c r="F170" t="s">
        <v>915</v>
      </c>
      <c r="G170" t="s">
        <v>920</v>
      </c>
      <c r="H170">
        <v>8</v>
      </c>
      <c r="I170" t="s">
        <v>922</v>
      </c>
      <c r="J170" t="s">
        <v>938</v>
      </c>
      <c r="K170" t="s">
        <v>947</v>
      </c>
    </row>
    <row r="171" spans="1:11" x14ac:dyDescent="0.35">
      <c r="A171" t="s">
        <v>555</v>
      </c>
      <c r="B171" s="1">
        <v>43344</v>
      </c>
      <c r="C171" t="s">
        <v>556</v>
      </c>
      <c r="D171" t="s">
        <v>365</v>
      </c>
      <c r="E171" t="s">
        <v>366</v>
      </c>
      <c r="F171" t="s">
        <v>915</v>
      </c>
      <c r="G171" t="s">
        <v>920</v>
      </c>
      <c r="H171">
        <v>9</v>
      </c>
      <c r="I171" t="s">
        <v>923</v>
      </c>
      <c r="J171" t="s">
        <v>939</v>
      </c>
      <c r="K171" t="s">
        <v>947</v>
      </c>
    </row>
    <row r="172" spans="1:11" x14ac:dyDescent="0.35">
      <c r="A172" t="s">
        <v>278</v>
      </c>
      <c r="B172" s="1">
        <v>43345</v>
      </c>
      <c r="C172" t="s">
        <v>279</v>
      </c>
      <c r="D172" t="s">
        <v>193</v>
      </c>
      <c r="E172" t="s">
        <v>230</v>
      </c>
      <c r="F172" t="s">
        <v>915</v>
      </c>
      <c r="G172" t="s">
        <v>920</v>
      </c>
      <c r="H172">
        <v>9</v>
      </c>
      <c r="I172" t="s">
        <v>923</v>
      </c>
      <c r="J172" t="s">
        <v>939</v>
      </c>
      <c r="K172" t="s">
        <v>947</v>
      </c>
    </row>
    <row r="173" spans="1:11" x14ac:dyDescent="0.35">
      <c r="A173" t="s">
        <v>59</v>
      </c>
      <c r="B173" s="1">
        <v>43345</v>
      </c>
      <c r="C173" t="s">
        <v>60</v>
      </c>
      <c r="D173" t="s">
        <v>7</v>
      </c>
      <c r="E173" t="s">
        <v>8</v>
      </c>
      <c r="F173" t="s">
        <v>915</v>
      </c>
      <c r="G173" t="s">
        <v>920</v>
      </c>
      <c r="H173">
        <v>9</v>
      </c>
      <c r="I173" t="s">
        <v>923</v>
      </c>
      <c r="J173" t="s">
        <v>939</v>
      </c>
      <c r="K173" t="s">
        <v>879</v>
      </c>
    </row>
    <row r="174" spans="1:11" x14ac:dyDescent="0.35">
      <c r="A174" t="s">
        <v>557</v>
      </c>
      <c r="B174" s="1">
        <v>43345</v>
      </c>
      <c r="C174" t="s">
        <v>558</v>
      </c>
      <c r="D174" t="s">
        <v>377</v>
      </c>
      <c r="E174" t="s">
        <v>378</v>
      </c>
      <c r="F174" t="s">
        <v>915</v>
      </c>
      <c r="G174" t="s">
        <v>920</v>
      </c>
      <c r="H174">
        <v>9</v>
      </c>
      <c r="I174" t="s">
        <v>923</v>
      </c>
      <c r="J174" t="s">
        <v>939</v>
      </c>
      <c r="K174" t="s">
        <v>879</v>
      </c>
    </row>
    <row r="175" spans="1:11" x14ac:dyDescent="0.35">
      <c r="A175" t="s">
        <v>559</v>
      </c>
      <c r="B175" s="1">
        <v>43345</v>
      </c>
      <c r="C175" t="s">
        <v>89</v>
      </c>
      <c r="D175" t="s">
        <v>380</v>
      </c>
      <c r="E175" t="s">
        <v>381</v>
      </c>
      <c r="F175" t="s">
        <v>915</v>
      </c>
      <c r="G175" t="s">
        <v>920</v>
      </c>
      <c r="H175">
        <v>9</v>
      </c>
      <c r="I175" t="s">
        <v>923</v>
      </c>
      <c r="J175" t="s">
        <v>939</v>
      </c>
      <c r="K175" t="s">
        <v>879</v>
      </c>
    </row>
    <row r="176" spans="1:11" x14ac:dyDescent="0.35">
      <c r="A176" t="s">
        <v>560</v>
      </c>
      <c r="B176" s="1">
        <v>43349</v>
      </c>
      <c r="C176" t="s">
        <v>156</v>
      </c>
      <c r="D176" t="s">
        <v>384</v>
      </c>
      <c r="E176" t="s">
        <v>385</v>
      </c>
      <c r="F176" t="s">
        <v>915</v>
      </c>
      <c r="G176" t="s">
        <v>920</v>
      </c>
      <c r="H176">
        <v>9</v>
      </c>
      <c r="I176" t="s">
        <v>923</v>
      </c>
      <c r="J176" t="s">
        <v>939</v>
      </c>
      <c r="K176" t="s">
        <v>947</v>
      </c>
    </row>
    <row r="177" spans="1:11" x14ac:dyDescent="0.35">
      <c r="A177" t="s">
        <v>561</v>
      </c>
      <c r="B177" s="1">
        <v>43350</v>
      </c>
      <c r="C177" t="s">
        <v>562</v>
      </c>
      <c r="D177" t="s">
        <v>388</v>
      </c>
      <c r="E177" t="s">
        <v>389</v>
      </c>
      <c r="F177" t="s">
        <v>915</v>
      </c>
      <c r="G177" t="s">
        <v>920</v>
      </c>
      <c r="H177">
        <v>9</v>
      </c>
      <c r="I177" t="s">
        <v>923</v>
      </c>
      <c r="J177" t="s">
        <v>939</v>
      </c>
      <c r="K177" t="s">
        <v>947</v>
      </c>
    </row>
    <row r="178" spans="1:11" x14ac:dyDescent="0.35">
      <c r="A178" t="s">
        <v>563</v>
      </c>
      <c r="B178" s="1">
        <v>43351</v>
      </c>
      <c r="C178" t="s">
        <v>564</v>
      </c>
      <c r="D178" t="s">
        <v>392</v>
      </c>
      <c r="E178" t="s">
        <v>389</v>
      </c>
      <c r="F178" t="s">
        <v>915</v>
      </c>
      <c r="G178" t="s">
        <v>920</v>
      </c>
      <c r="H178">
        <v>9</v>
      </c>
      <c r="I178" t="s">
        <v>923</v>
      </c>
      <c r="J178" t="s">
        <v>939</v>
      </c>
      <c r="K178" t="s">
        <v>947</v>
      </c>
    </row>
    <row r="179" spans="1:11" x14ac:dyDescent="0.35">
      <c r="A179" t="s">
        <v>280</v>
      </c>
      <c r="B179" s="1">
        <v>43352</v>
      </c>
      <c r="C179" t="s">
        <v>281</v>
      </c>
      <c r="D179" t="s">
        <v>193</v>
      </c>
      <c r="E179" t="s">
        <v>230</v>
      </c>
      <c r="F179" t="s">
        <v>915</v>
      </c>
      <c r="G179" t="s">
        <v>920</v>
      </c>
      <c r="H179">
        <v>9</v>
      </c>
      <c r="I179" t="s">
        <v>923</v>
      </c>
      <c r="J179" t="s">
        <v>939</v>
      </c>
      <c r="K179" t="s">
        <v>947</v>
      </c>
    </row>
    <row r="180" spans="1:11" x14ac:dyDescent="0.35">
      <c r="A180" t="s">
        <v>61</v>
      </c>
      <c r="B180" s="1">
        <v>43353</v>
      </c>
      <c r="C180" t="s">
        <v>62</v>
      </c>
      <c r="D180" t="s">
        <v>7</v>
      </c>
      <c r="E180" t="s">
        <v>8</v>
      </c>
      <c r="F180" t="s">
        <v>915</v>
      </c>
      <c r="G180" t="s">
        <v>920</v>
      </c>
      <c r="H180">
        <v>9</v>
      </c>
      <c r="I180" t="s">
        <v>923</v>
      </c>
      <c r="J180" t="s">
        <v>939</v>
      </c>
      <c r="K180" t="s">
        <v>947</v>
      </c>
    </row>
    <row r="181" spans="1:11" x14ac:dyDescent="0.35">
      <c r="A181" t="s">
        <v>282</v>
      </c>
      <c r="B181" s="1">
        <v>43354</v>
      </c>
      <c r="C181" t="s">
        <v>277</v>
      </c>
      <c r="D181" t="s">
        <v>193</v>
      </c>
      <c r="E181" t="s">
        <v>230</v>
      </c>
      <c r="F181" t="s">
        <v>915</v>
      </c>
      <c r="G181" t="s">
        <v>920</v>
      </c>
      <c r="H181">
        <v>9</v>
      </c>
      <c r="I181" t="s">
        <v>923</v>
      </c>
      <c r="J181" t="s">
        <v>939</v>
      </c>
      <c r="K181" t="s">
        <v>947</v>
      </c>
    </row>
    <row r="182" spans="1:11" x14ac:dyDescent="0.35">
      <c r="A182" t="s">
        <v>63</v>
      </c>
      <c r="B182" s="1">
        <v>43355</v>
      </c>
      <c r="C182" t="s">
        <v>64</v>
      </c>
      <c r="D182" t="s">
        <v>7</v>
      </c>
      <c r="E182" t="s">
        <v>8</v>
      </c>
      <c r="F182" t="s">
        <v>915</v>
      </c>
      <c r="G182" t="s">
        <v>920</v>
      </c>
      <c r="H182">
        <v>9</v>
      </c>
      <c r="I182" t="s">
        <v>923</v>
      </c>
      <c r="J182" t="s">
        <v>939</v>
      </c>
      <c r="K182" t="s">
        <v>947</v>
      </c>
    </row>
    <row r="183" spans="1:11" x14ac:dyDescent="0.35">
      <c r="A183" t="s">
        <v>565</v>
      </c>
      <c r="B183" s="1">
        <v>43356</v>
      </c>
      <c r="C183" t="s">
        <v>566</v>
      </c>
      <c r="D183" t="s">
        <v>410</v>
      </c>
      <c r="E183" t="s">
        <v>411</v>
      </c>
      <c r="F183" t="s">
        <v>915</v>
      </c>
      <c r="G183" t="s">
        <v>920</v>
      </c>
      <c r="H183">
        <v>9</v>
      </c>
      <c r="I183" t="s">
        <v>923</v>
      </c>
      <c r="J183" t="s">
        <v>939</v>
      </c>
      <c r="K183" t="s">
        <v>947</v>
      </c>
    </row>
    <row r="184" spans="1:11" x14ac:dyDescent="0.35">
      <c r="A184" t="s">
        <v>567</v>
      </c>
      <c r="B184" s="1">
        <v>43357</v>
      </c>
      <c r="C184" t="s">
        <v>568</v>
      </c>
      <c r="D184" t="s">
        <v>353</v>
      </c>
      <c r="E184" t="s">
        <v>354</v>
      </c>
      <c r="F184" t="s">
        <v>915</v>
      </c>
      <c r="G184" t="s">
        <v>920</v>
      </c>
      <c r="H184">
        <v>9</v>
      </c>
      <c r="I184" t="s">
        <v>923</v>
      </c>
      <c r="J184" t="s">
        <v>939</v>
      </c>
      <c r="K184" t="s">
        <v>947</v>
      </c>
    </row>
    <row r="185" spans="1:11" x14ac:dyDescent="0.35">
      <c r="A185" t="s">
        <v>283</v>
      </c>
      <c r="B185" s="1">
        <v>43358</v>
      </c>
      <c r="C185" t="s">
        <v>20</v>
      </c>
      <c r="D185" t="s">
        <v>193</v>
      </c>
      <c r="E185" t="s">
        <v>230</v>
      </c>
      <c r="F185" t="s">
        <v>915</v>
      </c>
      <c r="G185" t="s">
        <v>920</v>
      </c>
      <c r="H185">
        <v>9</v>
      </c>
      <c r="I185" t="s">
        <v>923</v>
      </c>
      <c r="J185" t="s">
        <v>939</v>
      </c>
      <c r="K185" t="s">
        <v>947</v>
      </c>
    </row>
    <row r="186" spans="1:11" x14ac:dyDescent="0.35">
      <c r="A186" t="s">
        <v>65</v>
      </c>
      <c r="B186" s="1">
        <v>43358</v>
      </c>
      <c r="C186" t="s">
        <v>66</v>
      </c>
      <c r="D186" t="s">
        <v>7</v>
      </c>
      <c r="E186" t="s">
        <v>8</v>
      </c>
      <c r="F186" t="s">
        <v>915</v>
      </c>
      <c r="G186" t="s">
        <v>920</v>
      </c>
      <c r="H186">
        <v>9</v>
      </c>
      <c r="I186" t="s">
        <v>923</v>
      </c>
      <c r="J186" t="s">
        <v>939</v>
      </c>
      <c r="K186" t="s">
        <v>947</v>
      </c>
    </row>
    <row r="187" spans="1:11" x14ac:dyDescent="0.35">
      <c r="A187" t="s">
        <v>569</v>
      </c>
      <c r="B187" s="1">
        <v>43358</v>
      </c>
      <c r="C187" t="s">
        <v>570</v>
      </c>
      <c r="D187" t="s">
        <v>357</v>
      </c>
      <c r="E187" t="s">
        <v>358</v>
      </c>
      <c r="F187" t="s">
        <v>915</v>
      </c>
      <c r="G187" t="s">
        <v>920</v>
      </c>
      <c r="H187">
        <v>9</v>
      </c>
      <c r="I187" t="s">
        <v>923</v>
      </c>
      <c r="J187" t="s">
        <v>939</v>
      </c>
      <c r="K187" t="s">
        <v>879</v>
      </c>
    </row>
    <row r="188" spans="1:11" x14ac:dyDescent="0.35">
      <c r="A188" t="s">
        <v>571</v>
      </c>
      <c r="B188" s="1">
        <v>43358</v>
      </c>
      <c r="C188" t="s">
        <v>271</v>
      </c>
      <c r="D188" t="s">
        <v>361</v>
      </c>
      <c r="E188" t="s">
        <v>362</v>
      </c>
      <c r="F188" t="s">
        <v>915</v>
      </c>
      <c r="G188" t="s">
        <v>920</v>
      </c>
      <c r="H188">
        <v>9</v>
      </c>
      <c r="I188" t="s">
        <v>923</v>
      </c>
      <c r="J188" t="s">
        <v>939</v>
      </c>
      <c r="K188" t="s">
        <v>879</v>
      </c>
    </row>
    <row r="189" spans="1:11" x14ac:dyDescent="0.35">
      <c r="A189" t="s">
        <v>572</v>
      </c>
      <c r="B189" s="1">
        <v>43362</v>
      </c>
      <c r="C189" t="s">
        <v>285</v>
      </c>
      <c r="D189" t="s">
        <v>365</v>
      </c>
      <c r="E189" t="s">
        <v>366</v>
      </c>
      <c r="F189" t="s">
        <v>915</v>
      </c>
      <c r="G189" t="s">
        <v>920</v>
      </c>
      <c r="H189">
        <v>9</v>
      </c>
      <c r="I189" t="s">
        <v>923</v>
      </c>
      <c r="J189" t="s">
        <v>939</v>
      </c>
      <c r="K189" t="s">
        <v>879</v>
      </c>
    </row>
    <row r="190" spans="1:11" x14ac:dyDescent="0.35">
      <c r="A190" t="s">
        <v>573</v>
      </c>
      <c r="B190" s="1">
        <v>43363</v>
      </c>
      <c r="C190" t="s">
        <v>574</v>
      </c>
      <c r="D190" t="s">
        <v>369</v>
      </c>
      <c r="E190" t="s">
        <v>370</v>
      </c>
      <c r="F190" t="s">
        <v>915</v>
      </c>
      <c r="G190" t="s">
        <v>920</v>
      </c>
      <c r="H190">
        <v>9</v>
      </c>
      <c r="I190" t="s">
        <v>923</v>
      </c>
      <c r="J190" t="s">
        <v>939</v>
      </c>
      <c r="K190" t="s">
        <v>947</v>
      </c>
    </row>
    <row r="191" spans="1:11" x14ac:dyDescent="0.35">
      <c r="A191" t="s">
        <v>575</v>
      </c>
      <c r="B191" s="1">
        <v>43364</v>
      </c>
      <c r="C191" t="s">
        <v>576</v>
      </c>
      <c r="D191" t="s">
        <v>373</v>
      </c>
      <c r="E191" t="s">
        <v>374</v>
      </c>
      <c r="F191" t="s">
        <v>915</v>
      </c>
      <c r="G191" t="s">
        <v>920</v>
      </c>
      <c r="H191">
        <v>9</v>
      </c>
      <c r="I191" t="s">
        <v>923</v>
      </c>
      <c r="J191" t="s">
        <v>939</v>
      </c>
      <c r="K191" t="s">
        <v>879</v>
      </c>
    </row>
    <row r="192" spans="1:11" x14ac:dyDescent="0.35">
      <c r="A192" t="s">
        <v>577</v>
      </c>
      <c r="B192" s="1">
        <v>43365</v>
      </c>
      <c r="C192" t="s">
        <v>544</v>
      </c>
      <c r="D192" t="s">
        <v>377</v>
      </c>
      <c r="E192" t="s">
        <v>378</v>
      </c>
      <c r="F192" t="s">
        <v>915</v>
      </c>
      <c r="G192" t="s">
        <v>920</v>
      </c>
      <c r="H192">
        <v>9</v>
      </c>
      <c r="I192" t="s">
        <v>923</v>
      </c>
      <c r="J192" t="s">
        <v>939</v>
      </c>
      <c r="K192" t="s">
        <v>947</v>
      </c>
    </row>
    <row r="193" spans="1:11" x14ac:dyDescent="0.35">
      <c r="A193" t="s">
        <v>578</v>
      </c>
      <c r="B193" s="1">
        <v>43366</v>
      </c>
      <c r="C193" t="s">
        <v>579</v>
      </c>
      <c r="D193" t="s">
        <v>380</v>
      </c>
      <c r="E193" t="s">
        <v>381</v>
      </c>
      <c r="F193" t="s">
        <v>915</v>
      </c>
      <c r="G193" t="s">
        <v>920</v>
      </c>
      <c r="H193">
        <v>9</v>
      </c>
      <c r="I193" t="s">
        <v>923</v>
      </c>
      <c r="J193" t="s">
        <v>939</v>
      </c>
      <c r="K193" t="s">
        <v>947</v>
      </c>
    </row>
    <row r="194" spans="1:11" x14ac:dyDescent="0.35">
      <c r="A194" t="s">
        <v>580</v>
      </c>
      <c r="B194" s="1">
        <v>43367</v>
      </c>
      <c r="C194" t="s">
        <v>581</v>
      </c>
      <c r="D194" t="s">
        <v>384</v>
      </c>
      <c r="E194" t="s">
        <v>385</v>
      </c>
      <c r="F194" t="s">
        <v>915</v>
      </c>
      <c r="G194" t="s">
        <v>920</v>
      </c>
      <c r="H194">
        <v>9</v>
      </c>
      <c r="I194" t="s">
        <v>923</v>
      </c>
      <c r="J194" t="s">
        <v>939</v>
      </c>
      <c r="K194" t="s">
        <v>879</v>
      </c>
    </row>
    <row r="195" spans="1:11" x14ac:dyDescent="0.35">
      <c r="A195" t="s">
        <v>284</v>
      </c>
      <c r="B195" s="1">
        <v>43367</v>
      </c>
      <c r="C195" t="s">
        <v>285</v>
      </c>
      <c r="D195" t="s">
        <v>193</v>
      </c>
      <c r="E195" t="s">
        <v>230</v>
      </c>
      <c r="F195" t="s">
        <v>915</v>
      </c>
      <c r="G195" t="s">
        <v>920</v>
      </c>
      <c r="H195">
        <v>9</v>
      </c>
      <c r="I195" t="s">
        <v>923</v>
      </c>
      <c r="J195" t="s">
        <v>939</v>
      </c>
      <c r="K195" t="s">
        <v>947</v>
      </c>
    </row>
    <row r="196" spans="1:11" x14ac:dyDescent="0.35">
      <c r="A196" t="s">
        <v>67</v>
      </c>
      <c r="B196" s="1">
        <v>43367</v>
      </c>
      <c r="C196" t="s">
        <v>68</v>
      </c>
      <c r="D196" t="s">
        <v>7</v>
      </c>
      <c r="E196" t="s">
        <v>8</v>
      </c>
      <c r="F196" t="s">
        <v>915</v>
      </c>
      <c r="G196" t="s">
        <v>920</v>
      </c>
      <c r="H196">
        <v>9</v>
      </c>
      <c r="I196" t="s">
        <v>923</v>
      </c>
      <c r="J196" t="s">
        <v>939</v>
      </c>
      <c r="K196" t="s">
        <v>947</v>
      </c>
    </row>
    <row r="197" spans="1:11" x14ac:dyDescent="0.35">
      <c r="A197" t="s">
        <v>582</v>
      </c>
      <c r="B197" s="1">
        <v>43367</v>
      </c>
      <c r="C197" t="s">
        <v>450</v>
      </c>
      <c r="D197" t="s">
        <v>395</v>
      </c>
      <c r="E197" t="s">
        <v>396</v>
      </c>
      <c r="F197" t="s">
        <v>915</v>
      </c>
      <c r="G197" t="s">
        <v>920</v>
      </c>
      <c r="H197">
        <v>9</v>
      </c>
      <c r="I197" t="s">
        <v>923</v>
      </c>
      <c r="J197" t="s">
        <v>939</v>
      </c>
      <c r="K197" t="s">
        <v>879</v>
      </c>
    </row>
    <row r="198" spans="1:11" x14ac:dyDescent="0.35">
      <c r="A198" t="s">
        <v>583</v>
      </c>
      <c r="B198" s="1">
        <v>43367</v>
      </c>
      <c r="C198" t="s">
        <v>584</v>
      </c>
      <c r="D198" t="s">
        <v>399</v>
      </c>
      <c r="E198" t="s">
        <v>400</v>
      </c>
      <c r="F198" t="s">
        <v>915</v>
      </c>
      <c r="G198" t="s">
        <v>920</v>
      </c>
      <c r="H198">
        <v>9</v>
      </c>
      <c r="I198" t="s">
        <v>923</v>
      </c>
      <c r="J198" t="s">
        <v>939</v>
      </c>
      <c r="K198" t="s">
        <v>947</v>
      </c>
    </row>
    <row r="199" spans="1:11" x14ac:dyDescent="0.35">
      <c r="A199" t="s">
        <v>286</v>
      </c>
      <c r="B199" s="1">
        <v>43367</v>
      </c>
      <c r="C199" t="s">
        <v>287</v>
      </c>
      <c r="D199" t="s">
        <v>193</v>
      </c>
      <c r="E199" t="s">
        <v>230</v>
      </c>
      <c r="F199" t="s">
        <v>915</v>
      </c>
      <c r="G199" t="s">
        <v>920</v>
      </c>
      <c r="H199">
        <v>9</v>
      </c>
      <c r="I199" t="s">
        <v>923</v>
      </c>
      <c r="J199" t="s">
        <v>939</v>
      </c>
      <c r="K199" t="s">
        <v>947</v>
      </c>
    </row>
    <row r="200" spans="1:11" x14ac:dyDescent="0.35">
      <c r="A200" t="s">
        <v>69</v>
      </c>
      <c r="B200" s="1">
        <v>43373</v>
      </c>
      <c r="C200" t="s">
        <v>70</v>
      </c>
      <c r="D200" t="s">
        <v>7</v>
      </c>
      <c r="E200" t="s">
        <v>8</v>
      </c>
      <c r="F200" t="s">
        <v>915</v>
      </c>
      <c r="G200" t="s">
        <v>920</v>
      </c>
      <c r="H200">
        <v>9</v>
      </c>
      <c r="I200" t="s">
        <v>923</v>
      </c>
      <c r="J200" t="s">
        <v>939</v>
      </c>
      <c r="K200" t="s">
        <v>947</v>
      </c>
    </row>
    <row r="201" spans="1:11" x14ac:dyDescent="0.35">
      <c r="A201" t="s">
        <v>585</v>
      </c>
      <c r="B201" s="1">
        <v>43374</v>
      </c>
      <c r="C201" t="s">
        <v>586</v>
      </c>
      <c r="D201" t="s">
        <v>410</v>
      </c>
      <c r="E201" t="s">
        <v>411</v>
      </c>
      <c r="F201" t="s">
        <v>915</v>
      </c>
      <c r="G201" t="s">
        <v>924</v>
      </c>
      <c r="H201">
        <v>10</v>
      </c>
      <c r="I201" t="s">
        <v>925</v>
      </c>
      <c r="J201" t="s">
        <v>940</v>
      </c>
      <c r="K201" t="s">
        <v>947</v>
      </c>
    </row>
    <row r="202" spans="1:11" x14ac:dyDescent="0.35">
      <c r="A202" t="s">
        <v>587</v>
      </c>
      <c r="B202" s="1">
        <v>43374</v>
      </c>
      <c r="C202" t="s">
        <v>588</v>
      </c>
      <c r="D202" t="s">
        <v>353</v>
      </c>
      <c r="E202" t="s">
        <v>354</v>
      </c>
      <c r="F202" t="s">
        <v>915</v>
      </c>
      <c r="G202" t="s">
        <v>924</v>
      </c>
      <c r="H202">
        <v>10</v>
      </c>
      <c r="I202" t="s">
        <v>925</v>
      </c>
      <c r="J202" t="s">
        <v>940</v>
      </c>
      <c r="K202" t="s">
        <v>947</v>
      </c>
    </row>
    <row r="203" spans="1:11" x14ac:dyDescent="0.35">
      <c r="A203" t="s">
        <v>209</v>
      </c>
      <c r="B203" s="1">
        <v>43374</v>
      </c>
      <c r="C203" t="s">
        <v>210</v>
      </c>
      <c r="D203" t="s">
        <v>193</v>
      </c>
      <c r="E203" t="s">
        <v>194</v>
      </c>
      <c r="F203" t="s">
        <v>915</v>
      </c>
      <c r="G203" t="s">
        <v>924</v>
      </c>
      <c r="H203">
        <v>10</v>
      </c>
      <c r="I203" t="s">
        <v>925</v>
      </c>
      <c r="J203" t="s">
        <v>940</v>
      </c>
      <c r="K203" t="s">
        <v>947</v>
      </c>
    </row>
    <row r="204" spans="1:11" x14ac:dyDescent="0.35">
      <c r="A204" t="s">
        <v>166</v>
      </c>
      <c r="B204" s="1">
        <v>43374</v>
      </c>
      <c r="C204" t="s">
        <v>167</v>
      </c>
      <c r="D204" t="s">
        <v>7</v>
      </c>
      <c r="E204" t="s">
        <v>148</v>
      </c>
      <c r="F204" t="s">
        <v>915</v>
      </c>
      <c r="G204" t="s">
        <v>924</v>
      </c>
      <c r="H204">
        <v>10</v>
      </c>
      <c r="I204" t="s">
        <v>925</v>
      </c>
      <c r="J204" t="s">
        <v>940</v>
      </c>
      <c r="K204" t="s">
        <v>947</v>
      </c>
    </row>
    <row r="205" spans="1:11" x14ac:dyDescent="0.35">
      <c r="A205" t="s">
        <v>288</v>
      </c>
      <c r="B205" s="1">
        <v>43378</v>
      </c>
      <c r="C205" t="s">
        <v>289</v>
      </c>
      <c r="D205" t="s">
        <v>193</v>
      </c>
      <c r="E205" t="s">
        <v>230</v>
      </c>
      <c r="F205" t="s">
        <v>915</v>
      </c>
      <c r="G205" t="s">
        <v>924</v>
      </c>
      <c r="H205">
        <v>10</v>
      </c>
      <c r="I205" t="s">
        <v>925</v>
      </c>
      <c r="J205" t="s">
        <v>940</v>
      </c>
      <c r="K205" t="s">
        <v>947</v>
      </c>
    </row>
    <row r="206" spans="1:11" x14ac:dyDescent="0.35">
      <c r="A206" t="s">
        <v>71</v>
      </c>
      <c r="B206" s="1">
        <v>43378</v>
      </c>
      <c r="C206" t="s">
        <v>72</v>
      </c>
      <c r="D206" t="s">
        <v>7</v>
      </c>
      <c r="E206" t="s">
        <v>8</v>
      </c>
      <c r="F206" t="s">
        <v>915</v>
      </c>
      <c r="G206" t="s">
        <v>924</v>
      </c>
      <c r="H206">
        <v>10</v>
      </c>
      <c r="I206" t="s">
        <v>925</v>
      </c>
      <c r="J206" t="s">
        <v>940</v>
      </c>
      <c r="K206" t="s">
        <v>879</v>
      </c>
    </row>
    <row r="207" spans="1:11" x14ac:dyDescent="0.35">
      <c r="A207" t="s">
        <v>589</v>
      </c>
      <c r="B207" s="1">
        <v>43378</v>
      </c>
      <c r="C207" t="s">
        <v>590</v>
      </c>
      <c r="D207" t="s">
        <v>365</v>
      </c>
      <c r="E207" t="s">
        <v>366</v>
      </c>
      <c r="F207" t="s">
        <v>915</v>
      </c>
      <c r="G207" t="s">
        <v>924</v>
      </c>
      <c r="H207">
        <v>10</v>
      </c>
      <c r="I207" t="s">
        <v>925</v>
      </c>
      <c r="J207" t="s">
        <v>940</v>
      </c>
      <c r="K207" t="s">
        <v>879</v>
      </c>
    </row>
    <row r="208" spans="1:11" x14ac:dyDescent="0.35">
      <c r="A208" t="s">
        <v>290</v>
      </c>
      <c r="B208" s="1">
        <v>43378</v>
      </c>
      <c r="C208" t="s">
        <v>291</v>
      </c>
      <c r="D208" t="s">
        <v>193</v>
      </c>
      <c r="E208" t="s">
        <v>230</v>
      </c>
      <c r="F208" t="s">
        <v>915</v>
      </c>
      <c r="G208" t="s">
        <v>924</v>
      </c>
      <c r="H208">
        <v>10</v>
      </c>
      <c r="I208" t="s">
        <v>925</v>
      </c>
      <c r="J208" t="s">
        <v>940</v>
      </c>
      <c r="K208" t="s">
        <v>879</v>
      </c>
    </row>
    <row r="209" spans="1:11" x14ac:dyDescent="0.35">
      <c r="A209" t="s">
        <v>73</v>
      </c>
      <c r="B209" s="1">
        <v>43379</v>
      </c>
      <c r="C209" t="s">
        <v>74</v>
      </c>
      <c r="D209" t="s">
        <v>7</v>
      </c>
      <c r="E209" t="s">
        <v>8</v>
      </c>
      <c r="F209" t="s">
        <v>915</v>
      </c>
      <c r="G209" t="s">
        <v>924</v>
      </c>
      <c r="H209">
        <v>10</v>
      </c>
      <c r="I209" t="s">
        <v>925</v>
      </c>
      <c r="J209" t="s">
        <v>940</v>
      </c>
      <c r="K209" t="s">
        <v>947</v>
      </c>
    </row>
    <row r="210" spans="1:11" x14ac:dyDescent="0.35">
      <c r="A210" t="s">
        <v>591</v>
      </c>
      <c r="B210" s="1">
        <v>43380</v>
      </c>
      <c r="C210" t="s">
        <v>592</v>
      </c>
      <c r="D210" t="s">
        <v>377</v>
      </c>
      <c r="E210" t="s">
        <v>378</v>
      </c>
      <c r="F210" t="s">
        <v>915</v>
      </c>
      <c r="G210" t="s">
        <v>924</v>
      </c>
      <c r="H210">
        <v>10</v>
      </c>
      <c r="I210" t="s">
        <v>925</v>
      </c>
      <c r="J210" t="s">
        <v>940</v>
      </c>
      <c r="K210" t="s">
        <v>879</v>
      </c>
    </row>
    <row r="211" spans="1:11" x14ac:dyDescent="0.35">
      <c r="A211" t="s">
        <v>593</v>
      </c>
      <c r="B211" s="1">
        <v>43381</v>
      </c>
      <c r="C211" t="s">
        <v>594</v>
      </c>
      <c r="D211" t="s">
        <v>380</v>
      </c>
      <c r="E211" t="s">
        <v>381</v>
      </c>
      <c r="F211" t="s">
        <v>915</v>
      </c>
      <c r="G211" t="s">
        <v>924</v>
      </c>
      <c r="H211">
        <v>10</v>
      </c>
      <c r="I211" t="s">
        <v>925</v>
      </c>
      <c r="J211" t="s">
        <v>940</v>
      </c>
      <c r="K211" t="s">
        <v>879</v>
      </c>
    </row>
    <row r="212" spans="1:11" x14ac:dyDescent="0.35">
      <c r="A212" t="s">
        <v>595</v>
      </c>
      <c r="B212" s="1">
        <v>43382</v>
      </c>
      <c r="C212" t="s">
        <v>596</v>
      </c>
      <c r="D212" t="s">
        <v>384</v>
      </c>
      <c r="E212" t="s">
        <v>385</v>
      </c>
      <c r="F212" t="s">
        <v>915</v>
      </c>
      <c r="G212" t="s">
        <v>924</v>
      </c>
      <c r="H212">
        <v>10</v>
      </c>
      <c r="I212" t="s">
        <v>925</v>
      </c>
      <c r="J212" t="s">
        <v>940</v>
      </c>
      <c r="K212" t="s">
        <v>879</v>
      </c>
    </row>
    <row r="213" spans="1:11" x14ac:dyDescent="0.35">
      <c r="A213" t="s">
        <v>597</v>
      </c>
      <c r="B213" s="1">
        <v>43383</v>
      </c>
      <c r="C213" t="s">
        <v>598</v>
      </c>
      <c r="D213" t="s">
        <v>388</v>
      </c>
      <c r="E213" t="s">
        <v>389</v>
      </c>
      <c r="F213" t="s">
        <v>915</v>
      </c>
      <c r="G213" t="s">
        <v>924</v>
      </c>
      <c r="H213">
        <v>10</v>
      </c>
      <c r="I213" t="s">
        <v>925</v>
      </c>
      <c r="J213" t="s">
        <v>940</v>
      </c>
      <c r="K213" t="s">
        <v>879</v>
      </c>
    </row>
    <row r="214" spans="1:11" x14ac:dyDescent="0.35">
      <c r="A214" t="s">
        <v>292</v>
      </c>
      <c r="B214" s="1">
        <v>43383</v>
      </c>
      <c r="C214" t="s">
        <v>293</v>
      </c>
      <c r="D214" t="s">
        <v>193</v>
      </c>
      <c r="E214" t="s">
        <v>230</v>
      </c>
      <c r="F214" t="s">
        <v>915</v>
      </c>
      <c r="G214" t="s">
        <v>924</v>
      </c>
      <c r="H214">
        <v>10</v>
      </c>
      <c r="I214" t="s">
        <v>925</v>
      </c>
      <c r="J214" t="s">
        <v>940</v>
      </c>
      <c r="K214" t="s">
        <v>879</v>
      </c>
    </row>
    <row r="215" spans="1:11" x14ac:dyDescent="0.35">
      <c r="A215" t="s">
        <v>75</v>
      </c>
      <c r="B215" s="1">
        <v>43383</v>
      </c>
      <c r="C215" t="s">
        <v>76</v>
      </c>
      <c r="D215" t="s">
        <v>7</v>
      </c>
      <c r="E215" t="s">
        <v>8</v>
      </c>
      <c r="F215" t="s">
        <v>915</v>
      </c>
      <c r="G215" t="s">
        <v>924</v>
      </c>
      <c r="H215">
        <v>10</v>
      </c>
      <c r="I215" t="s">
        <v>925</v>
      </c>
      <c r="J215" t="s">
        <v>940</v>
      </c>
      <c r="K215" t="s">
        <v>879</v>
      </c>
    </row>
    <row r="216" spans="1:11" x14ac:dyDescent="0.35">
      <c r="A216" t="s">
        <v>294</v>
      </c>
      <c r="B216" s="1">
        <v>43383</v>
      </c>
      <c r="C216" t="s">
        <v>295</v>
      </c>
      <c r="D216" t="s">
        <v>193</v>
      </c>
      <c r="E216" t="s">
        <v>230</v>
      </c>
      <c r="F216" t="s">
        <v>915</v>
      </c>
      <c r="G216" t="s">
        <v>924</v>
      </c>
      <c r="H216">
        <v>10</v>
      </c>
      <c r="I216" t="s">
        <v>925</v>
      </c>
      <c r="J216" t="s">
        <v>940</v>
      </c>
      <c r="K216" t="s">
        <v>879</v>
      </c>
    </row>
    <row r="217" spans="1:11" x14ac:dyDescent="0.35">
      <c r="A217" t="s">
        <v>77</v>
      </c>
      <c r="B217" s="1">
        <v>43383</v>
      </c>
      <c r="C217" t="s">
        <v>78</v>
      </c>
      <c r="D217" t="s">
        <v>7</v>
      </c>
      <c r="E217" t="s">
        <v>8</v>
      </c>
      <c r="F217" t="s">
        <v>915</v>
      </c>
      <c r="G217" t="s">
        <v>924</v>
      </c>
      <c r="H217">
        <v>10</v>
      </c>
      <c r="I217" t="s">
        <v>925</v>
      </c>
      <c r="J217" t="s">
        <v>940</v>
      </c>
      <c r="K217" t="s">
        <v>879</v>
      </c>
    </row>
    <row r="218" spans="1:11" x14ac:dyDescent="0.35">
      <c r="A218" t="s">
        <v>599</v>
      </c>
      <c r="B218" s="1">
        <v>43383</v>
      </c>
      <c r="C218" t="s">
        <v>163</v>
      </c>
      <c r="D218" t="s">
        <v>406</v>
      </c>
      <c r="E218" t="s">
        <v>407</v>
      </c>
      <c r="F218" t="s">
        <v>915</v>
      </c>
      <c r="G218" t="s">
        <v>924</v>
      </c>
      <c r="H218">
        <v>10</v>
      </c>
      <c r="I218" t="s">
        <v>925</v>
      </c>
      <c r="J218" t="s">
        <v>940</v>
      </c>
      <c r="K218" t="s">
        <v>879</v>
      </c>
    </row>
    <row r="219" spans="1:11" x14ac:dyDescent="0.35">
      <c r="A219" t="s">
        <v>600</v>
      </c>
      <c r="B219" s="1">
        <v>43385</v>
      </c>
      <c r="C219" t="s">
        <v>601</v>
      </c>
      <c r="D219" t="s">
        <v>410</v>
      </c>
      <c r="E219" t="s">
        <v>411</v>
      </c>
      <c r="F219" t="s">
        <v>915</v>
      </c>
      <c r="G219" t="s">
        <v>924</v>
      </c>
      <c r="H219">
        <v>10</v>
      </c>
      <c r="I219" t="s">
        <v>925</v>
      </c>
      <c r="J219" t="s">
        <v>940</v>
      </c>
      <c r="K219" t="s">
        <v>879</v>
      </c>
    </row>
    <row r="220" spans="1:11" x14ac:dyDescent="0.35">
      <c r="A220" t="s">
        <v>296</v>
      </c>
      <c r="B220" s="1">
        <v>43386</v>
      </c>
      <c r="C220" t="s">
        <v>297</v>
      </c>
      <c r="D220" t="s">
        <v>193</v>
      </c>
      <c r="E220" t="s">
        <v>230</v>
      </c>
      <c r="F220" t="s">
        <v>915</v>
      </c>
      <c r="G220" t="s">
        <v>924</v>
      </c>
      <c r="H220">
        <v>10</v>
      </c>
      <c r="I220" t="s">
        <v>925</v>
      </c>
      <c r="J220" t="s">
        <v>940</v>
      </c>
      <c r="K220" t="s">
        <v>879</v>
      </c>
    </row>
    <row r="221" spans="1:11" x14ac:dyDescent="0.35">
      <c r="A221" t="s">
        <v>79</v>
      </c>
      <c r="B221" s="1">
        <v>43387</v>
      </c>
      <c r="C221" t="s">
        <v>80</v>
      </c>
      <c r="D221" t="s">
        <v>7</v>
      </c>
      <c r="E221" t="s">
        <v>8</v>
      </c>
      <c r="F221" t="s">
        <v>915</v>
      </c>
      <c r="G221" t="s">
        <v>924</v>
      </c>
      <c r="H221">
        <v>10</v>
      </c>
      <c r="I221" t="s">
        <v>925</v>
      </c>
      <c r="J221" t="s">
        <v>940</v>
      </c>
      <c r="K221" t="s">
        <v>879</v>
      </c>
    </row>
    <row r="222" spans="1:11" x14ac:dyDescent="0.35">
      <c r="A222" t="s">
        <v>168</v>
      </c>
      <c r="B222" s="1">
        <v>43388</v>
      </c>
      <c r="C222" t="s">
        <v>169</v>
      </c>
      <c r="D222" t="s">
        <v>7</v>
      </c>
      <c r="E222" t="s">
        <v>148</v>
      </c>
      <c r="F222" t="s">
        <v>915</v>
      </c>
      <c r="G222" t="s">
        <v>924</v>
      </c>
      <c r="H222">
        <v>10</v>
      </c>
      <c r="I222" t="s">
        <v>925</v>
      </c>
      <c r="J222" t="s">
        <v>940</v>
      </c>
      <c r="K222" t="s">
        <v>879</v>
      </c>
    </row>
    <row r="223" spans="1:11" x14ac:dyDescent="0.35">
      <c r="A223" t="s">
        <v>602</v>
      </c>
      <c r="B223" s="1">
        <v>43389</v>
      </c>
      <c r="C223" t="s">
        <v>603</v>
      </c>
      <c r="D223" t="s">
        <v>357</v>
      </c>
      <c r="E223" t="s">
        <v>358</v>
      </c>
      <c r="F223" t="s">
        <v>915</v>
      </c>
      <c r="G223" t="s">
        <v>924</v>
      </c>
      <c r="H223">
        <v>10</v>
      </c>
      <c r="I223" t="s">
        <v>925</v>
      </c>
      <c r="J223" t="s">
        <v>940</v>
      </c>
      <c r="K223" t="s">
        <v>879</v>
      </c>
    </row>
    <row r="224" spans="1:11" x14ac:dyDescent="0.35">
      <c r="A224" t="s">
        <v>604</v>
      </c>
      <c r="B224" s="1">
        <v>43389</v>
      </c>
      <c r="C224" t="s">
        <v>442</v>
      </c>
      <c r="D224" t="s">
        <v>361</v>
      </c>
      <c r="E224" t="s">
        <v>362</v>
      </c>
      <c r="F224" t="s">
        <v>915</v>
      </c>
      <c r="G224" t="s">
        <v>924</v>
      </c>
      <c r="H224">
        <v>10</v>
      </c>
      <c r="I224" t="s">
        <v>925</v>
      </c>
      <c r="J224" t="s">
        <v>940</v>
      </c>
      <c r="K224" t="s">
        <v>879</v>
      </c>
    </row>
    <row r="225" spans="1:11" x14ac:dyDescent="0.35">
      <c r="A225" t="s">
        <v>605</v>
      </c>
      <c r="B225" s="1">
        <v>43391</v>
      </c>
      <c r="C225" t="s">
        <v>606</v>
      </c>
      <c r="D225" t="s">
        <v>365</v>
      </c>
      <c r="E225" t="s">
        <v>366</v>
      </c>
      <c r="F225" t="s">
        <v>915</v>
      </c>
      <c r="G225" t="s">
        <v>924</v>
      </c>
      <c r="H225">
        <v>10</v>
      </c>
      <c r="I225" t="s">
        <v>925</v>
      </c>
      <c r="J225" t="s">
        <v>940</v>
      </c>
      <c r="K225" t="s">
        <v>879</v>
      </c>
    </row>
    <row r="226" spans="1:11" x14ac:dyDescent="0.35">
      <c r="A226" t="s">
        <v>298</v>
      </c>
      <c r="B226" s="1">
        <v>43391</v>
      </c>
      <c r="C226" t="s">
        <v>107</v>
      </c>
      <c r="D226" t="s">
        <v>193</v>
      </c>
      <c r="E226" t="s">
        <v>230</v>
      </c>
      <c r="F226" t="s">
        <v>915</v>
      </c>
      <c r="G226" t="s">
        <v>924</v>
      </c>
      <c r="H226">
        <v>10</v>
      </c>
      <c r="I226" t="s">
        <v>925</v>
      </c>
      <c r="J226" t="s">
        <v>940</v>
      </c>
      <c r="K226" t="s">
        <v>879</v>
      </c>
    </row>
    <row r="227" spans="1:11" x14ac:dyDescent="0.35">
      <c r="A227" t="s">
        <v>81</v>
      </c>
      <c r="B227" s="1">
        <v>43393</v>
      </c>
      <c r="C227" t="s">
        <v>82</v>
      </c>
      <c r="D227" t="s">
        <v>7</v>
      </c>
      <c r="E227" t="s">
        <v>8</v>
      </c>
      <c r="F227" t="s">
        <v>915</v>
      </c>
      <c r="G227" t="s">
        <v>924</v>
      </c>
      <c r="H227">
        <v>10</v>
      </c>
      <c r="I227" t="s">
        <v>925</v>
      </c>
      <c r="J227" t="s">
        <v>940</v>
      </c>
      <c r="K227" t="s">
        <v>879</v>
      </c>
    </row>
    <row r="228" spans="1:11" x14ac:dyDescent="0.35">
      <c r="A228" t="s">
        <v>83</v>
      </c>
      <c r="B228" s="1">
        <v>43394</v>
      </c>
      <c r="C228" t="s">
        <v>84</v>
      </c>
      <c r="D228" t="s">
        <v>7</v>
      </c>
      <c r="E228" t="s">
        <v>8</v>
      </c>
      <c r="F228" t="s">
        <v>915</v>
      </c>
      <c r="G228" t="s">
        <v>924</v>
      </c>
      <c r="H228">
        <v>10</v>
      </c>
      <c r="I228" t="s">
        <v>925</v>
      </c>
      <c r="J228" t="s">
        <v>940</v>
      </c>
      <c r="K228" t="s">
        <v>879</v>
      </c>
    </row>
    <row r="229" spans="1:11" x14ac:dyDescent="0.35">
      <c r="A229" t="s">
        <v>299</v>
      </c>
      <c r="B229" s="1">
        <v>43395</v>
      </c>
      <c r="C229" t="s">
        <v>300</v>
      </c>
      <c r="D229" t="s">
        <v>193</v>
      </c>
      <c r="E229" t="s">
        <v>230</v>
      </c>
      <c r="F229" t="s">
        <v>915</v>
      </c>
      <c r="G229" t="s">
        <v>924</v>
      </c>
      <c r="H229">
        <v>10</v>
      </c>
      <c r="I229" t="s">
        <v>925</v>
      </c>
      <c r="J229" t="s">
        <v>940</v>
      </c>
      <c r="K229" t="s">
        <v>879</v>
      </c>
    </row>
    <row r="230" spans="1:11" x14ac:dyDescent="0.35">
      <c r="A230" t="s">
        <v>85</v>
      </c>
      <c r="B230" s="1">
        <v>43396</v>
      </c>
      <c r="C230" t="s">
        <v>24</v>
      </c>
      <c r="D230" t="s">
        <v>7</v>
      </c>
      <c r="E230" t="s">
        <v>8</v>
      </c>
      <c r="F230" t="s">
        <v>915</v>
      </c>
      <c r="G230" t="s">
        <v>924</v>
      </c>
      <c r="H230">
        <v>10</v>
      </c>
      <c r="I230" t="s">
        <v>925</v>
      </c>
      <c r="J230" t="s">
        <v>940</v>
      </c>
      <c r="K230" t="s">
        <v>879</v>
      </c>
    </row>
    <row r="231" spans="1:11" x14ac:dyDescent="0.35">
      <c r="A231" t="s">
        <v>607</v>
      </c>
      <c r="B231" s="1">
        <v>43397</v>
      </c>
      <c r="C231" t="s">
        <v>608</v>
      </c>
      <c r="D231" t="s">
        <v>388</v>
      </c>
      <c r="E231" t="s">
        <v>389</v>
      </c>
      <c r="F231" t="s">
        <v>915</v>
      </c>
      <c r="G231" t="s">
        <v>924</v>
      </c>
      <c r="H231">
        <v>10</v>
      </c>
      <c r="I231" t="s">
        <v>925</v>
      </c>
      <c r="J231" t="s">
        <v>940</v>
      </c>
      <c r="K231" t="s">
        <v>879</v>
      </c>
    </row>
    <row r="232" spans="1:11" x14ac:dyDescent="0.35">
      <c r="A232" t="s">
        <v>609</v>
      </c>
      <c r="B232" s="1">
        <v>43398</v>
      </c>
      <c r="C232" t="s">
        <v>610</v>
      </c>
      <c r="D232" t="s">
        <v>392</v>
      </c>
      <c r="E232" t="s">
        <v>389</v>
      </c>
      <c r="F232" t="s">
        <v>915</v>
      </c>
      <c r="G232" t="s">
        <v>924</v>
      </c>
      <c r="H232">
        <v>10</v>
      </c>
      <c r="I232" t="s">
        <v>925</v>
      </c>
      <c r="J232" t="s">
        <v>940</v>
      </c>
      <c r="K232" t="s">
        <v>879</v>
      </c>
    </row>
    <row r="233" spans="1:11" x14ac:dyDescent="0.35">
      <c r="A233" t="s">
        <v>611</v>
      </c>
      <c r="B233" s="1">
        <v>43399</v>
      </c>
      <c r="C233" t="s">
        <v>612</v>
      </c>
      <c r="D233" t="s">
        <v>395</v>
      </c>
      <c r="E233" t="s">
        <v>396</v>
      </c>
      <c r="F233" t="s">
        <v>915</v>
      </c>
      <c r="G233" t="s">
        <v>924</v>
      </c>
      <c r="H233">
        <v>10</v>
      </c>
      <c r="I233" t="s">
        <v>925</v>
      </c>
      <c r="J233" t="s">
        <v>940</v>
      </c>
      <c r="K233" t="s">
        <v>879</v>
      </c>
    </row>
    <row r="234" spans="1:11" x14ac:dyDescent="0.35">
      <c r="A234" t="s">
        <v>613</v>
      </c>
      <c r="B234" s="1">
        <v>43400</v>
      </c>
      <c r="C234" t="s">
        <v>125</v>
      </c>
      <c r="D234" t="s">
        <v>399</v>
      </c>
      <c r="E234" t="s">
        <v>400</v>
      </c>
      <c r="F234" t="s">
        <v>915</v>
      </c>
      <c r="G234" t="s">
        <v>924</v>
      </c>
      <c r="H234">
        <v>10</v>
      </c>
      <c r="I234" t="s">
        <v>925</v>
      </c>
      <c r="J234" t="s">
        <v>940</v>
      </c>
      <c r="K234" t="s">
        <v>879</v>
      </c>
    </row>
    <row r="235" spans="1:11" x14ac:dyDescent="0.35">
      <c r="A235" t="s">
        <v>301</v>
      </c>
      <c r="B235" s="1">
        <v>43401</v>
      </c>
      <c r="C235" t="s">
        <v>302</v>
      </c>
      <c r="D235" t="s">
        <v>193</v>
      </c>
      <c r="E235" t="s">
        <v>230</v>
      </c>
      <c r="F235" t="s">
        <v>915</v>
      </c>
      <c r="G235" t="s">
        <v>924</v>
      </c>
      <c r="H235">
        <v>10</v>
      </c>
      <c r="I235" t="s">
        <v>925</v>
      </c>
      <c r="J235" t="s">
        <v>940</v>
      </c>
      <c r="K235" t="s">
        <v>879</v>
      </c>
    </row>
    <row r="236" spans="1:11" x14ac:dyDescent="0.35">
      <c r="A236" t="s">
        <v>86</v>
      </c>
      <c r="B236" s="1">
        <v>43402</v>
      </c>
      <c r="C236" t="s">
        <v>87</v>
      </c>
      <c r="D236" t="s">
        <v>7</v>
      </c>
      <c r="E236" t="s">
        <v>8</v>
      </c>
      <c r="F236" t="s">
        <v>915</v>
      </c>
      <c r="G236" t="s">
        <v>924</v>
      </c>
      <c r="H236">
        <v>10</v>
      </c>
      <c r="I236" t="s">
        <v>925</v>
      </c>
      <c r="J236" t="s">
        <v>940</v>
      </c>
      <c r="K236" t="s">
        <v>879</v>
      </c>
    </row>
    <row r="237" spans="1:11" x14ac:dyDescent="0.35">
      <c r="A237" t="s">
        <v>614</v>
      </c>
      <c r="B237" s="1">
        <v>43402</v>
      </c>
      <c r="C237" t="s">
        <v>615</v>
      </c>
      <c r="D237" t="s">
        <v>410</v>
      </c>
      <c r="E237" t="s">
        <v>411</v>
      </c>
      <c r="F237" t="s">
        <v>915</v>
      </c>
      <c r="G237" t="s">
        <v>924</v>
      </c>
      <c r="H237">
        <v>10</v>
      </c>
      <c r="I237" t="s">
        <v>925</v>
      </c>
      <c r="J237" t="s">
        <v>940</v>
      </c>
      <c r="K237" t="s">
        <v>879</v>
      </c>
    </row>
    <row r="238" spans="1:11" x14ac:dyDescent="0.35">
      <c r="A238" t="s">
        <v>616</v>
      </c>
      <c r="B238" s="1">
        <v>43402</v>
      </c>
      <c r="C238" t="s">
        <v>617</v>
      </c>
      <c r="D238" t="s">
        <v>353</v>
      </c>
      <c r="E238" t="s">
        <v>354</v>
      </c>
      <c r="F238" t="s">
        <v>915</v>
      </c>
      <c r="G238" t="s">
        <v>924</v>
      </c>
      <c r="H238">
        <v>10</v>
      </c>
      <c r="I238" t="s">
        <v>925</v>
      </c>
      <c r="J238" t="s">
        <v>940</v>
      </c>
      <c r="K238" t="s">
        <v>879</v>
      </c>
    </row>
    <row r="239" spans="1:11" x14ac:dyDescent="0.35">
      <c r="A239" t="s">
        <v>211</v>
      </c>
      <c r="B239" s="1">
        <v>43402</v>
      </c>
      <c r="C239" t="s">
        <v>212</v>
      </c>
      <c r="D239" t="s">
        <v>193</v>
      </c>
      <c r="E239" t="s">
        <v>194</v>
      </c>
      <c r="F239" t="s">
        <v>915</v>
      </c>
      <c r="G239" t="s">
        <v>924</v>
      </c>
      <c r="H239">
        <v>10</v>
      </c>
      <c r="I239" t="s">
        <v>925</v>
      </c>
      <c r="J239" t="s">
        <v>940</v>
      </c>
      <c r="K239" t="s">
        <v>879</v>
      </c>
    </row>
    <row r="240" spans="1:11" x14ac:dyDescent="0.35">
      <c r="A240" t="s">
        <v>303</v>
      </c>
      <c r="B240" s="1">
        <v>43402</v>
      </c>
      <c r="C240" t="s">
        <v>304</v>
      </c>
      <c r="D240" t="s">
        <v>193</v>
      </c>
      <c r="E240" t="s">
        <v>230</v>
      </c>
      <c r="F240" t="s">
        <v>915</v>
      </c>
      <c r="G240" t="s">
        <v>924</v>
      </c>
      <c r="H240">
        <v>10</v>
      </c>
      <c r="I240" t="s">
        <v>925</v>
      </c>
      <c r="J240" t="s">
        <v>940</v>
      </c>
      <c r="K240" t="s">
        <v>879</v>
      </c>
    </row>
    <row r="241" spans="1:11" x14ac:dyDescent="0.35">
      <c r="A241" t="s">
        <v>88</v>
      </c>
      <c r="B241" s="1">
        <v>43402</v>
      </c>
      <c r="C241" t="s">
        <v>89</v>
      </c>
      <c r="D241" t="s">
        <v>7</v>
      </c>
      <c r="E241" t="s">
        <v>8</v>
      </c>
      <c r="F241" t="s">
        <v>915</v>
      </c>
      <c r="G241" t="s">
        <v>924</v>
      </c>
      <c r="H241">
        <v>10</v>
      </c>
      <c r="I241" t="s">
        <v>925</v>
      </c>
      <c r="J241" t="s">
        <v>940</v>
      </c>
      <c r="K241" t="s">
        <v>879</v>
      </c>
    </row>
    <row r="242" spans="1:11" x14ac:dyDescent="0.35">
      <c r="A242" t="s">
        <v>618</v>
      </c>
      <c r="B242" s="1">
        <v>43403</v>
      </c>
      <c r="C242" t="s">
        <v>619</v>
      </c>
      <c r="D242" t="s">
        <v>361</v>
      </c>
      <c r="E242" t="s">
        <v>362</v>
      </c>
      <c r="F242" t="s">
        <v>915</v>
      </c>
      <c r="G242" t="s">
        <v>924</v>
      </c>
      <c r="H242">
        <v>10</v>
      </c>
      <c r="I242" t="s">
        <v>925</v>
      </c>
      <c r="J242" t="s">
        <v>940</v>
      </c>
      <c r="K242" t="s">
        <v>879</v>
      </c>
    </row>
    <row r="243" spans="1:11" x14ac:dyDescent="0.35">
      <c r="A243" t="s">
        <v>620</v>
      </c>
      <c r="B243" s="1">
        <v>43404</v>
      </c>
      <c r="C243" t="s">
        <v>621</v>
      </c>
      <c r="D243" t="s">
        <v>365</v>
      </c>
      <c r="E243" t="s">
        <v>366</v>
      </c>
      <c r="F243" t="s">
        <v>915</v>
      </c>
      <c r="G243" t="s">
        <v>924</v>
      </c>
      <c r="H243">
        <v>10</v>
      </c>
      <c r="I243" t="s">
        <v>925</v>
      </c>
      <c r="J243" t="s">
        <v>940</v>
      </c>
      <c r="K243" t="s">
        <v>879</v>
      </c>
    </row>
    <row r="244" spans="1:11" x14ac:dyDescent="0.35">
      <c r="A244" t="s">
        <v>305</v>
      </c>
      <c r="B244" s="1">
        <v>43405</v>
      </c>
      <c r="C244" t="s">
        <v>306</v>
      </c>
      <c r="D244" t="s">
        <v>193</v>
      </c>
      <c r="E244" t="s">
        <v>230</v>
      </c>
      <c r="F244" t="s">
        <v>915</v>
      </c>
      <c r="G244" t="s">
        <v>924</v>
      </c>
      <c r="H244">
        <v>11</v>
      </c>
      <c r="I244" t="s">
        <v>926</v>
      </c>
      <c r="J244" t="s">
        <v>941</v>
      </c>
      <c r="K244" t="s">
        <v>879</v>
      </c>
    </row>
    <row r="245" spans="1:11" x14ac:dyDescent="0.35">
      <c r="A245" t="s">
        <v>90</v>
      </c>
      <c r="B245" s="1">
        <v>43406</v>
      </c>
      <c r="C245" t="s">
        <v>24</v>
      </c>
      <c r="D245" t="s">
        <v>7</v>
      </c>
      <c r="E245" t="s">
        <v>8</v>
      </c>
      <c r="F245" t="s">
        <v>915</v>
      </c>
      <c r="G245" t="s">
        <v>924</v>
      </c>
      <c r="H245">
        <v>11</v>
      </c>
      <c r="I245" t="s">
        <v>926</v>
      </c>
      <c r="J245" t="s">
        <v>941</v>
      </c>
      <c r="K245" t="s">
        <v>879</v>
      </c>
    </row>
    <row r="246" spans="1:11" x14ac:dyDescent="0.35">
      <c r="A246" t="s">
        <v>307</v>
      </c>
      <c r="B246" s="1">
        <v>43407</v>
      </c>
      <c r="C246" t="s">
        <v>308</v>
      </c>
      <c r="D246" t="s">
        <v>193</v>
      </c>
      <c r="E246" t="s">
        <v>230</v>
      </c>
      <c r="F246" t="s">
        <v>915</v>
      </c>
      <c r="G246" t="s">
        <v>924</v>
      </c>
      <c r="H246">
        <v>11</v>
      </c>
      <c r="I246" t="s">
        <v>926</v>
      </c>
      <c r="J246" t="s">
        <v>941</v>
      </c>
      <c r="K246" t="s">
        <v>879</v>
      </c>
    </row>
    <row r="247" spans="1:11" x14ac:dyDescent="0.35">
      <c r="A247" t="s">
        <v>91</v>
      </c>
      <c r="B247" s="1">
        <v>43407</v>
      </c>
      <c r="C247" t="s">
        <v>92</v>
      </c>
      <c r="D247" t="s">
        <v>7</v>
      </c>
      <c r="E247" t="s">
        <v>8</v>
      </c>
      <c r="F247" t="s">
        <v>915</v>
      </c>
      <c r="G247" t="s">
        <v>924</v>
      </c>
      <c r="H247">
        <v>11</v>
      </c>
      <c r="I247" t="s">
        <v>926</v>
      </c>
      <c r="J247" t="s">
        <v>941</v>
      </c>
      <c r="K247" t="s">
        <v>879</v>
      </c>
    </row>
    <row r="248" spans="1:11" x14ac:dyDescent="0.35">
      <c r="A248" t="s">
        <v>622</v>
      </c>
      <c r="B248" s="1">
        <v>43407</v>
      </c>
      <c r="C248" t="s">
        <v>623</v>
      </c>
      <c r="D248" t="s">
        <v>384</v>
      </c>
      <c r="E248" t="s">
        <v>385</v>
      </c>
      <c r="F248" t="s">
        <v>915</v>
      </c>
      <c r="G248" t="s">
        <v>924</v>
      </c>
      <c r="H248">
        <v>11</v>
      </c>
      <c r="I248" t="s">
        <v>926</v>
      </c>
      <c r="J248" t="s">
        <v>941</v>
      </c>
      <c r="K248" t="s">
        <v>879</v>
      </c>
    </row>
    <row r="249" spans="1:11" x14ac:dyDescent="0.35">
      <c r="A249" t="s">
        <v>624</v>
      </c>
      <c r="B249" s="1">
        <v>43407</v>
      </c>
      <c r="C249" t="s">
        <v>625</v>
      </c>
      <c r="D249" t="s">
        <v>388</v>
      </c>
      <c r="E249" t="s">
        <v>389</v>
      </c>
      <c r="F249" t="s">
        <v>915</v>
      </c>
      <c r="G249" t="s">
        <v>924</v>
      </c>
      <c r="H249">
        <v>11</v>
      </c>
      <c r="I249" t="s">
        <v>926</v>
      </c>
      <c r="J249" t="s">
        <v>941</v>
      </c>
      <c r="K249" t="s">
        <v>879</v>
      </c>
    </row>
    <row r="250" spans="1:11" x14ac:dyDescent="0.35">
      <c r="A250" t="s">
        <v>626</v>
      </c>
      <c r="B250" s="1">
        <v>43407</v>
      </c>
      <c r="C250" t="s">
        <v>627</v>
      </c>
      <c r="D250" t="s">
        <v>392</v>
      </c>
      <c r="E250" t="s">
        <v>389</v>
      </c>
      <c r="F250" t="s">
        <v>915</v>
      </c>
      <c r="G250" t="s">
        <v>924</v>
      </c>
      <c r="H250">
        <v>11</v>
      </c>
      <c r="I250" t="s">
        <v>926</v>
      </c>
      <c r="J250" t="s">
        <v>941</v>
      </c>
      <c r="K250" t="s">
        <v>879</v>
      </c>
    </row>
    <row r="251" spans="1:11" x14ac:dyDescent="0.35">
      <c r="A251" t="s">
        <v>628</v>
      </c>
      <c r="B251" s="1">
        <v>43407</v>
      </c>
      <c r="C251" t="s">
        <v>107</v>
      </c>
      <c r="D251" t="s">
        <v>395</v>
      </c>
      <c r="E251" t="s">
        <v>396</v>
      </c>
      <c r="F251" t="s">
        <v>915</v>
      </c>
      <c r="G251" t="s">
        <v>924</v>
      </c>
      <c r="H251">
        <v>11</v>
      </c>
      <c r="I251" t="s">
        <v>926</v>
      </c>
      <c r="J251" t="s">
        <v>941</v>
      </c>
      <c r="K251" t="s">
        <v>879</v>
      </c>
    </row>
    <row r="252" spans="1:11" x14ac:dyDescent="0.35">
      <c r="A252" t="s">
        <v>629</v>
      </c>
      <c r="B252" s="1">
        <v>43408</v>
      </c>
      <c r="C252" t="s">
        <v>630</v>
      </c>
      <c r="D252" t="s">
        <v>399</v>
      </c>
      <c r="E252" t="s">
        <v>400</v>
      </c>
      <c r="F252" t="s">
        <v>915</v>
      </c>
      <c r="G252" t="s">
        <v>924</v>
      </c>
      <c r="H252">
        <v>11</v>
      </c>
      <c r="I252" t="s">
        <v>926</v>
      </c>
      <c r="J252" t="s">
        <v>941</v>
      </c>
      <c r="K252" t="s">
        <v>879</v>
      </c>
    </row>
    <row r="253" spans="1:11" x14ac:dyDescent="0.35">
      <c r="A253" t="s">
        <v>631</v>
      </c>
      <c r="B253" s="1">
        <v>43409</v>
      </c>
      <c r="C253" t="s">
        <v>285</v>
      </c>
      <c r="D253" t="s">
        <v>403</v>
      </c>
      <c r="E253" t="s">
        <v>403</v>
      </c>
      <c r="F253" t="s">
        <v>915</v>
      </c>
      <c r="G253" t="s">
        <v>924</v>
      </c>
      <c r="H253">
        <v>11</v>
      </c>
      <c r="I253" t="s">
        <v>926</v>
      </c>
      <c r="J253" t="s">
        <v>941</v>
      </c>
      <c r="K253" t="s">
        <v>879</v>
      </c>
    </row>
    <row r="254" spans="1:11" x14ac:dyDescent="0.35">
      <c r="A254" t="s">
        <v>632</v>
      </c>
      <c r="B254" s="1">
        <v>43410</v>
      </c>
      <c r="C254" t="s">
        <v>633</v>
      </c>
      <c r="D254" t="s">
        <v>406</v>
      </c>
      <c r="E254" t="s">
        <v>407</v>
      </c>
      <c r="F254" t="s">
        <v>915</v>
      </c>
      <c r="G254" t="s">
        <v>924</v>
      </c>
      <c r="H254">
        <v>11</v>
      </c>
      <c r="I254" t="s">
        <v>926</v>
      </c>
      <c r="J254" t="s">
        <v>941</v>
      </c>
      <c r="K254" t="s">
        <v>879</v>
      </c>
    </row>
    <row r="255" spans="1:11" x14ac:dyDescent="0.35">
      <c r="A255" t="s">
        <v>634</v>
      </c>
      <c r="B255" s="1">
        <v>43411</v>
      </c>
      <c r="C255" t="s">
        <v>635</v>
      </c>
      <c r="D255" t="s">
        <v>410</v>
      </c>
      <c r="E255" t="s">
        <v>411</v>
      </c>
      <c r="F255" t="s">
        <v>915</v>
      </c>
      <c r="G255" t="s">
        <v>924</v>
      </c>
      <c r="H255">
        <v>11</v>
      </c>
      <c r="I255" t="s">
        <v>926</v>
      </c>
      <c r="J255" t="s">
        <v>941</v>
      </c>
      <c r="K255" t="s">
        <v>879</v>
      </c>
    </row>
    <row r="256" spans="1:11" x14ac:dyDescent="0.35">
      <c r="A256" t="s">
        <v>636</v>
      </c>
      <c r="B256" s="1">
        <v>43412</v>
      </c>
      <c r="C256" t="s">
        <v>637</v>
      </c>
      <c r="D256" t="s">
        <v>353</v>
      </c>
      <c r="E256" t="s">
        <v>354</v>
      </c>
      <c r="F256" t="s">
        <v>915</v>
      </c>
      <c r="G256" t="s">
        <v>924</v>
      </c>
      <c r="H256">
        <v>11</v>
      </c>
      <c r="I256" t="s">
        <v>926</v>
      </c>
      <c r="J256" t="s">
        <v>941</v>
      </c>
      <c r="K256" t="s">
        <v>879</v>
      </c>
    </row>
    <row r="257" spans="1:11" x14ac:dyDescent="0.35">
      <c r="A257" t="s">
        <v>213</v>
      </c>
      <c r="B257" s="1">
        <v>43412</v>
      </c>
      <c r="C257" t="s">
        <v>48</v>
      </c>
      <c r="D257" t="s">
        <v>193</v>
      </c>
      <c r="E257" t="s">
        <v>194</v>
      </c>
      <c r="F257" t="s">
        <v>915</v>
      </c>
      <c r="G257" t="s">
        <v>924</v>
      </c>
      <c r="H257">
        <v>11</v>
      </c>
      <c r="I257" t="s">
        <v>926</v>
      </c>
      <c r="J257" t="s">
        <v>941</v>
      </c>
      <c r="K257" t="s">
        <v>879</v>
      </c>
    </row>
    <row r="258" spans="1:11" x14ac:dyDescent="0.35">
      <c r="A258" t="s">
        <v>170</v>
      </c>
      <c r="B258" s="1">
        <v>43412</v>
      </c>
      <c r="C258" t="s">
        <v>171</v>
      </c>
      <c r="D258" t="s">
        <v>7</v>
      </c>
      <c r="E258" t="s">
        <v>148</v>
      </c>
      <c r="F258" t="s">
        <v>915</v>
      </c>
      <c r="G258" t="s">
        <v>924</v>
      </c>
      <c r="H258">
        <v>11</v>
      </c>
      <c r="I258" t="s">
        <v>926</v>
      </c>
      <c r="J258" t="s">
        <v>941</v>
      </c>
      <c r="K258" t="s">
        <v>879</v>
      </c>
    </row>
    <row r="259" spans="1:11" x14ac:dyDescent="0.35">
      <c r="A259" t="s">
        <v>309</v>
      </c>
      <c r="B259" s="1">
        <v>43414</v>
      </c>
      <c r="C259" t="s">
        <v>171</v>
      </c>
      <c r="D259" t="s">
        <v>193</v>
      </c>
      <c r="E259" t="s">
        <v>230</v>
      </c>
      <c r="F259" t="s">
        <v>915</v>
      </c>
      <c r="G259" t="s">
        <v>924</v>
      </c>
      <c r="H259">
        <v>11</v>
      </c>
      <c r="I259" t="s">
        <v>926</v>
      </c>
      <c r="J259" t="s">
        <v>941</v>
      </c>
      <c r="K259" t="s">
        <v>879</v>
      </c>
    </row>
    <row r="260" spans="1:11" x14ac:dyDescent="0.35">
      <c r="A260" t="s">
        <v>93</v>
      </c>
      <c r="B260" s="1">
        <v>43414</v>
      </c>
      <c r="C260" t="s">
        <v>94</v>
      </c>
      <c r="D260" t="s">
        <v>7</v>
      </c>
      <c r="E260" t="s">
        <v>8</v>
      </c>
      <c r="F260" t="s">
        <v>915</v>
      </c>
      <c r="G260" t="s">
        <v>924</v>
      </c>
      <c r="H260">
        <v>11</v>
      </c>
      <c r="I260" t="s">
        <v>926</v>
      </c>
      <c r="J260" t="s">
        <v>941</v>
      </c>
      <c r="K260" t="s">
        <v>879</v>
      </c>
    </row>
    <row r="261" spans="1:11" x14ac:dyDescent="0.35">
      <c r="A261" t="s">
        <v>310</v>
      </c>
      <c r="B261" s="1">
        <v>43417</v>
      </c>
      <c r="C261" t="s">
        <v>78</v>
      </c>
      <c r="D261" t="s">
        <v>193</v>
      </c>
      <c r="E261" t="s">
        <v>230</v>
      </c>
      <c r="F261" t="s">
        <v>915</v>
      </c>
      <c r="G261" t="s">
        <v>924</v>
      </c>
      <c r="H261">
        <v>11</v>
      </c>
      <c r="I261" t="s">
        <v>926</v>
      </c>
      <c r="J261" t="s">
        <v>941</v>
      </c>
      <c r="K261" t="s">
        <v>879</v>
      </c>
    </row>
    <row r="262" spans="1:11" x14ac:dyDescent="0.35">
      <c r="A262" t="s">
        <v>95</v>
      </c>
      <c r="B262" s="1">
        <v>43418</v>
      </c>
      <c r="C262" t="s">
        <v>96</v>
      </c>
      <c r="D262" t="s">
        <v>7</v>
      </c>
      <c r="E262" t="s">
        <v>8</v>
      </c>
      <c r="F262" t="s">
        <v>915</v>
      </c>
      <c r="G262" t="s">
        <v>924</v>
      </c>
      <c r="H262">
        <v>11</v>
      </c>
      <c r="I262" t="s">
        <v>926</v>
      </c>
      <c r="J262" t="s">
        <v>941</v>
      </c>
      <c r="K262" t="s">
        <v>879</v>
      </c>
    </row>
    <row r="263" spans="1:11" x14ac:dyDescent="0.35">
      <c r="A263" t="s">
        <v>638</v>
      </c>
      <c r="B263" s="1">
        <v>43419</v>
      </c>
      <c r="C263" t="s">
        <v>544</v>
      </c>
      <c r="D263" t="s">
        <v>373</v>
      </c>
      <c r="E263" t="s">
        <v>374</v>
      </c>
      <c r="F263" t="s">
        <v>915</v>
      </c>
      <c r="G263" t="s">
        <v>924</v>
      </c>
      <c r="H263">
        <v>11</v>
      </c>
      <c r="I263" t="s">
        <v>926</v>
      </c>
      <c r="J263" t="s">
        <v>941</v>
      </c>
      <c r="K263" t="s">
        <v>879</v>
      </c>
    </row>
    <row r="264" spans="1:11" x14ac:dyDescent="0.35">
      <c r="A264" t="s">
        <v>639</v>
      </c>
      <c r="B264" s="1">
        <v>43419</v>
      </c>
      <c r="C264" t="s">
        <v>640</v>
      </c>
      <c r="D264" t="s">
        <v>377</v>
      </c>
      <c r="E264" t="s">
        <v>378</v>
      </c>
      <c r="F264" t="s">
        <v>915</v>
      </c>
      <c r="G264" t="s">
        <v>924</v>
      </c>
      <c r="H264">
        <v>11</v>
      </c>
      <c r="I264" t="s">
        <v>926</v>
      </c>
      <c r="J264" t="s">
        <v>941</v>
      </c>
      <c r="K264" t="s">
        <v>947</v>
      </c>
    </row>
    <row r="265" spans="1:11" x14ac:dyDescent="0.35">
      <c r="A265" t="s">
        <v>641</v>
      </c>
      <c r="B265" s="1">
        <v>43419</v>
      </c>
      <c r="C265" t="s">
        <v>642</v>
      </c>
      <c r="D265" t="s">
        <v>380</v>
      </c>
      <c r="E265" t="s">
        <v>381</v>
      </c>
      <c r="F265" t="s">
        <v>915</v>
      </c>
      <c r="G265" t="s">
        <v>924</v>
      </c>
      <c r="H265">
        <v>11</v>
      </c>
      <c r="I265" t="s">
        <v>926</v>
      </c>
      <c r="J265" t="s">
        <v>941</v>
      </c>
      <c r="K265" t="s">
        <v>879</v>
      </c>
    </row>
    <row r="266" spans="1:11" x14ac:dyDescent="0.35">
      <c r="A266" t="s">
        <v>643</v>
      </c>
      <c r="B266" s="1">
        <v>43419</v>
      </c>
      <c r="C266" t="s">
        <v>644</v>
      </c>
      <c r="D266" t="s">
        <v>384</v>
      </c>
      <c r="E266" t="s">
        <v>385</v>
      </c>
      <c r="F266" t="s">
        <v>915</v>
      </c>
      <c r="G266" t="s">
        <v>924</v>
      </c>
      <c r="H266">
        <v>11</v>
      </c>
      <c r="I266" t="s">
        <v>926</v>
      </c>
      <c r="J266" t="s">
        <v>941</v>
      </c>
      <c r="K266" t="s">
        <v>879</v>
      </c>
    </row>
    <row r="267" spans="1:11" x14ac:dyDescent="0.35">
      <c r="A267" t="s">
        <v>311</v>
      </c>
      <c r="B267" s="1">
        <v>43419</v>
      </c>
      <c r="C267" t="s">
        <v>312</v>
      </c>
      <c r="D267" t="s">
        <v>193</v>
      </c>
      <c r="E267" t="s">
        <v>230</v>
      </c>
      <c r="F267" t="s">
        <v>915</v>
      </c>
      <c r="G267" t="s">
        <v>924</v>
      </c>
      <c r="H267">
        <v>11</v>
      </c>
      <c r="I267" t="s">
        <v>926</v>
      </c>
      <c r="J267" t="s">
        <v>941</v>
      </c>
      <c r="K267" t="s">
        <v>879</v>
      </c>
    </row>
    <row r="268" spans="1:11" x14ac:dyDescent="0.35">
      <c r="A268" t="s">
        <v>97</v>
      </c>
      <c r="B268" s="1">
        <v>43419</v>
      </c>
      <c r="C268" t="s">
        <v>98</v>
      </c>
      <c r="D268" t="s">
        <v>7</v>
      </c>
      <c r="E268" t="s">
        <v>8</v>
      </c>
      <c r="F268" t="s">
        <v>915</v>
      </c>
      <c r="G268" t="s">
        <v>924</v>
      </c>
      <c r="H268">
        <v>11</v>
      </c>
      <c r="I268" t="s">
        <v>926</v>
      </c>
      <c r="J268" t="s">
        <v>941</v>
      </c>
      <c r="K268" t="s">
        <v>947</v>
      </c>
    </row>
    <row r="269" spans="1:11" x14ac:dyDescent="0.35">
      <c r="A269" t="s">
        <v>645</v>
      </c>
      <c r="B269" s="1">
        <v>43420</v>
      </c>
      <c r="C269" t="s">
        <v>646</v>
      </c>
      <c r="D269" t="s">
        <v>395</v>
      </c>
      <c r="E269" t="s">
        <v>396</v>
      </c>
      <c r="F269" t="s">
        <v>915</v>
      </c>
      <c r="G269" t="s">
        <v>924</v>
      </c>
      <c r="H269">
        <v>11</v>
      </c>
      <c r="I269" t="s">
        <v>926</v>
      </c>
      <c r="J269" t="s">
        <v>941</v>
      </c>
      <c r="K269" t="s">
        <v>879</v>
      </c>
    </row>
    <row r="270" spans="1:11" x14ac:dyDescent="0.35">
      <c r="A270" t="s">
        <v>647</v>
      </c>
      <c r="B270" s="1">
        <v>43421</v>
      </c>
      <c r="C270" t="s">
        <v>291</v>
      </c>
      <c r="D270" t="s">
        <v>399</v>
      </c>
      <c r="E270" t="s">
        <v>400</v>
      </c>
      <c r="F270" t="s">
        <v>915</v>
      </c>
      <c r="G270" t="s">
        <v>924</v>
      </c>
      <c r="H270">
        <v>11</v>
      </c>
      <c r="I270" t="s">
        <v>926</v>
      </c>
      <c r="J270" t="s">
        <v>941</v>
      </c>
      <c r="K270" t="s">
        <v>879</v>
      </c>
    </row>
    <row r="271" spans="1:11" x14ac:dyDescent="0.35">
      <c r="A271" t="s">
        <v>648</v>
      </c>
      <c r="B271" s="1">
        <v>43422</v>
      </c>
      <c r="C271" t="s">
        <v>649</v>
      </c>
      <c r="D271" t="s">
        <v>403</v>
      </c>
      <c r="E271" t="s">
        <v>403</v>
      </c>
      <c r="F271" t="s">
        <v>915</v>
      </c>
      <c r="G271" t="s">
        <v>924</v>
      </c>
      <c r="H271">
        <v>11</v>
      </c>
      <c r="I271" t="s">
        <v>926</v>
      </c>
      <c r="J271" t="s">
        <v>941</v>
      </c>
      <c r="K271" t="s">
        <v>879</v>
      </c>
    </row>
    <row r="272" spans="1:11" x14ac:dyDescent="0.35">
      <c r="A272" t="s">
        <v>650</v>
      </c>
      <c r="B272" s="1">
        <v>43423</v>
      </c>
      <c r="C272" t="s">
        <v>651</v>
      </c>
      <c r="D272" t="s">
        <v>406</v>
      </c>
      <c r="E272" t="s">
        <v>407</v>
      </c>
      <c r="F272" t="s">
        <v>915</v>
      </c>
      <c r="G272" t="s">
        <v>924</v>
      </c>
      <c r="H272">
        <v>11</v>
      </c>
      <c r="I272" t="s">
        <v>926</v>
      </c>
      <c r="J272" t="s">
        <v>941</v>
      </c>
      <c r="K272" t="s">
        <v>879</v>
      </c>
    </row>
    <row r="273" spans="1:11" x14ac:dyDescent="0.35">
      <c r="A273" t="s">
        <v>652</v>
      </c>
      <c r="B273" s="1">
        <v>43424</v>
      </c>
      <c r="C273" t="s">
        <v>46</v>
      </c>
      <c r="D273" t="s">
        <v>410</v>
      </c>
      <c r="E273" t="s">
        <v>411</v>
      </c>
      <c r="F273" t="s">
        <v>915</v>
      </c>
      <c r="G273" t="s">
        <v>924</v>
      </c>
      <c r="H273">
        <v>11</v>
      </c>
      <c r="I273" t="s">
        <v>926</v>
      </c>
      <c r="J273" t="s">
        <v>941</v>
      </c>
      <c r="K273" t="s">
        <v>879</v>
      </c>
    </row>
    <row r="274" spans="1:11" x14ac:dyDescent="0.35">
      <c r="A274" t="s">
        <v>653</v>
      </c>
      <c r="B274" s="1">
        <v>43425</v>
      </c>
      <c r="C274" t="s">
        <v>654</v>
      </c>
      <c r="D274" t="s">
        <v>353</v>
      </c>
      <c r="E274" t="s">
        <v>655</v>
      </c>
      <c r="F274" t="s">
        <v>915</v>
      </c>
      <c r="G274" t="s">
        <v>924</v>
      </c>
      <c r="H274">
        <v>11</v>
      </c>
      <c r="I274" t="s">
        <v>926</v>
      </c>
      <c r="J274" t="s">
        <v>941</v>
      </c>
      <c r="K274" t="s">
        <v>879</v>
      </c>
    </row>
    <row r="275" spans="1:11" x14ac:dyDescent="0.35">
      <c r="A275" t="s">
        <v>313</v>
      </c>
      <c r="B275" s="1">
        <v>43426</v>
      </c>
      <c r="C275" t="s">
        <v>314</v>
      </c>
      <c r="D275" t="s">
        <v>193</v>
      </c>
      <c r="E275" t="s">
        <v>230</v>
      </c>
      <c r="F275" t="s">
        <v>915</v>
      </c>
      <c r="G275" t="s">
        <v>924</v>
      </c>
      <c r="H275">
        <v>11</v>
      </c>
      <c r="I275" t="s">
        <v>926</v>
      </c>
      <c r="J275" t="s">
        <v>941</v>
      </c>
      <c r="K275" t="s">
        <v>879</v>
      </c>
    </row>
    <row r="276" spans="1:11" x14ac:dyDescent="0.35">
      <c r="A276" t="s">
        <v>99</v>
      </c>
      <c r="B276" s="1">
        <v>43427</v>
      </c>
      <c r="C276" t="s">
        <v>100</v>
      </c>
      <c r="D276" t="s">
        <v>7</v>
      </c>
      <c r="E276" t="s">
        <v>8</v>
      </c>
      <c r="F276" t="s">
        <v>915</v>
      </c>
      <c r="G276" t="s">
        <v>924</v>
      </c>
      <c r="H276">
        <v>11</v>
      </c>
      <c r="I276" t="s">
        <v>926</v>
      </c>
      <c r="J276" t="s">
        <v>941</v>
      </c>
      <c r="K276" t="s">
        <v>879</v>
      </c>
    </row>
    <row r="277" spans="1:11" x14ac:dyDescent="0.35">
      <c r="A277" t="s">
        <v>656</v>
      </c>
      <c r="B277" s="1">
        <v>43428</v>
      </c>
      <c r="C277" t="s">
        <v>202</v>
      </c>
      <c r="D277" t="s">
        <v>357</v>
      </c>
      <c r="E277" t="s">
        <v>657</v>
      </c>
      <c r="F277" t="s">
        <v>915</v>
      </c>
      <c r="G277" t="s">
        <v>924</v>
      </c>
      <c r="H277">
        <v>11</v>
      </c>
      <c r="I277" t="s">
        <v>926</v>
      </c>
      <c r="J277" t="s">
        <v>941</v>
      </c>
      <c r="K277" t="s">
        <v>879</v>
      </c>
    </row>
    <row r="278" spans="1:11" x14ac:dyDescent="0.35">
      <c r="A278" t="s">
        <v>658</v>
      </c>
      <c r="B278" s="1">
        <v>43428</v>
      </c>
      <c r="C278" t="s">
        <v>659</v>
      </c>
      <c r="D278" t="s">
        <v>377</v>
      </c>
      <c r="E278" t="s">
        <v>660</v>
      </c>
      <c r="F278" t="s">
        <v>915</v>
      </c>
      <c r="G278" t="s">
        <v>924</v>
      </c>
      <c r="H278">
        <v>11</v>
      </c>
      <c r="I278" t="s">
        <v>926</v>
      </c>
      <c r="J278" t="s">
        <v>941</v>
      </c>
      <c r="K278" t="s">
        <v>879</v>
      </c>
    </row>
    <row r="279" spans="1:11" x14ac:dyDescent="0.35">
      <c r="A279" t="s">
        <v>661</v>
      </c>
      <c r="B279" s="1">
        <v>43428</v>
      </c>
      <c r="C279" t="s">
        <v>662</v>
      </c>
      <c r="D279" t="s">
        <v>388</v>
      </c>
      <c r="E279" t="s">
        <v>663</v>
      </c>
      <c r="F279" t="s">
        <v>915</v>
      </c>
      <c r="G279" t="s">
        <v>924</v>
      </c>
      <c r="H279">
        <v>11</v>
      </c>
      <c r="I279" t="s">
        <v>926</v>
      </c>
      <c r="J279" t="s">
        <v>941</v>
      </c>
      <c r="K279" t="s">
        <v>879</v>
      </c>
    </row>
    <row r="280" spans="1:11" x14ac:dyDescent="0.35">
      <c r="A280" t="s">
        <v>664</v>
      </c>
      <c r="B280" s="1">
        <v>43428</v>
      </c>
      <c r="C280" t="s">
        <v>665</v>
      </c>
      <c r="D280" t="s">
        <v>353</v>
      </c>
      <c r="E280" t="s">
        <v>655</v>
      </c>
      <c r="F280" t="s">
        <v>915</v>
      </c>
      <c r="G280" t="s">
        <v>924</v>
      </c>
      <c r="H280">
        <v>11</v>
      </c>
      <c r="I280" t="s">
        <v>926</v>
      </c>
      <c r="J280" t="s">
        <v>941</v>
      </c>
      <c r="K280" t="s">
        <v>879</v>
      </c>
    </row>
    <row r="281" spans="1:11" x14ac:dyDescent="0.35">
      <c r="A281" t="s">
        <v>315</v>
      </c>
      <c r="B281" s="1">
        <v>43428</v>
      </c>
      <c r="C281" t="s">
        <v>316</v>
      </c>
      <c r="D281" t="s">
        <v>193</v>
      </c>
      <c r="E281" t="s">
        <v>230</v>
      </c>
      <c r="F281" t="s">
        <v>915</v>
      </c>
      <c r="G281" t="s">
        <v>924</v>
      </c>
      <c r="H281">
        <v>11</v>
      </c>
      <c r="I281" t="s">
        <v>926</v>
      </c>
      <c r="J281" t="s">
        <v>941</v>
      </c>
      <c r="K281" t="s">
        <v>879</v>
      </c>
    </row>
    <row r="282" spans="1:11" x14ac:dyDescent="0.35">
      <c r="A282" t="s">
        <v>101</v>
      </c>
      <c r="B282" s="1">
        <v>43428</v>
      </c>
      <c r="C282" t="s">
        <v>68</v>
      </c>
      <c r="D282" t="s">
        <v>7</v>
      </c>
      <c r="E282" t="s">
        <v>8</v>
      </c>
      <c r="F282" t="s">
        <v>915</v>
      </c>
      <c r="G282" t="s">
        <v>924</v>
      </c>
      <c r="H282">
        <v>11</v>
      </c>
      <c r="I282" t="s">
        <v>926</v>
      </c>
      <c r="J282" t="s">
        <v>941</v>
      </c>
      <c r="K282" t="s">
        <v>879</v>
      </c>
    </row>
    <row r="283" spans="1:11" x14ac:dyDescent="0.35">
      <c r="A283" t="s">
        <v>666</v>
      </c>
      <c r="B283" s="1">
        <v>43428</v>
      </c>
      <c r="C283" t="s">
        <v>667</v>
      </c>
      <c r="D283" t="s">
        <v>357</v>
      </c>
      <c r="E283" t="s">
        <v>657</v>
      </c>
      <c r="F283" t="s">
        <v>915</v>
      </c>
      <c r="G283" t="s">
        <v>924</v>
      </c>
      <c r="H283">
        <v>11</v>
      </c>
      <c r="I283" t="s">
        <v>926</v>
      </c>
      <c r="J283" t="s">
        <v>941</v>
      </c>
      <c r="K283" t="s">
        <v>879</v>
      </c>
    </row>
    <row r="284" spans="1:11" x14ac:dyDescent="0.35">
      <c r="A284" t="s">
        <v>668</v>
      </c>
      <c r="B284" s="1">
        <v>43429</v>
      </c>
      <c r="C284" t="s">
        <v>423</v>
      </c>
      <c r="D284" t="s">
        <v>377</v>
      </c>
      <c r="E284" t="s">
        <v>660</v>
      </c>
      <c r="F284" t="s">
        <v>915</v>
      </c>
      <c r="G284" t="s">
        <v>924</v>
      </c>
      <c r="H284">
        <v>11</v>
      </c>
      <c r="I284" t="s">
        <v>926</v>
      </c>
      <c r="J284" t="s">
        <v>941</v>
      </c>
      <c r="K284" t="s">
        <v>879</v>
      </c>
    </row>
    <row r="285" spans="1:11" x14ac:dyDescent="0.35">
      <c r="A285" t="s">
        <v>669</v>
      </c>
      <c r="B285" s="1">
        <v>43430</v>
      </c>
      <c r="C285" t="s">
        <v>670</v>
      </c>
      <c r="D285" t="s">
        <v>388</v>
      </c>
      <c r="E285" t="s">
        <v>663</v>
      </c>
      <c r="F285" t="s">
        <v>915</v>
      </c>
      <c r="G285" t="s">
        <v>924</v>
      </c>
      <c r="H285">
        <v>11</v>
      </c>
      <c r="I285" t="s">
        <v>926</v>
      </c>
      <c r="J285" t="s">
        <v>941</v>
      </c>
      <c r="K285" t="s">
        <v>879</v>
      </c>
    </row>
    <row r="286" spans="1:11" x14ac:dyDescent="0.35">
      <c r="A286" t="s">
        <v>671</v>
      </c>
      <c r="B286" s="1">
        <v>43431</v>
      </c>
      <c r="C286" t="s">
        <v>672</v>
      </c>
      <c r="D286" t="s">
        <v>353</v>
      </c>
      <c r="E286" t="s">
        <v>655</v>
      </c>
      <c r="F286" t="s">
        <v>915</v>
      </c>
      <c r="G286" t="s">
        <v>924</v>
      </c>
      <c r="H286">
        <v>11</v>
      </c>
      <c r="I286" t="s">
        <v>926</v>
      </c>
      <c r="J286" t="s">
        <v>941</v>
      </c>
      <c r="K286" t="s">
        <v>879</v>
      </c>
    </row>
    <row r="287" spans="1:11" x14ac:dyDescent="0.35">
      <c r="A287" t="s">
        <v>317</v>
      </c>
      <c r="B287" s="1">
        <v>43432</v>
      </c>
      <c r="C287" t="s">
        <v>318</v>
      </c>
      <c r="D287" t="s">
        <v>193</v>
      </c>
      <c r="E287" t="s">
        <v>230</v>
      </c>
      <c r="F287" t="s">
        <v>915</v>
      </c>
      <c r="G287" t="s">
        <v>924</v>
      </c>
      <c r="H287">
        <v>11</v>
      </c>
      <c r="I287" t="s">
        <v>926</v>
      </c>
      <c r="J287" t="s">
        <v>941</v>
      </c>
      <c r="K287" t="s">
        <v>879</v>
      </c>
    </row>
    <row r="288" spans="1:11" x14ac:dyDescent="0.35">
      <c r="A288" t="s">
        <v>102</v>
      </c>
      <c r="B288" s="1">
        <v>43432</v>
      </c>
      <c r="C288" t="s">
        <v>103</v>
      </c>
      <c r="D288" t="s">
        <v>7</v>
      </c>
      <c r="E288" t="s">
        <v>8</v>
      </c>
      <c r="F288" t="s">
        <v>915</v>
      </c>
      <c r="G288" t="s">
        <v>924</v>
      </c>
      <c r="H288">
        <v>11</v>
      </c>
      <c r="I288" t="s">
        <v>926</v>
      </c>
      <c r="J288" t="s">
        <v>941</v>
      </c>
      <c r="K288" t="s">
        <v>879</v>
      </c>
    </row>
    <row r="289" spans="1:11" x14ac:dyDescent="0.35">
      <c r="A289" t="s">
        <v>673</v>
      </c>
      <c r="B289" s="1">
        <v>43432</v>
      </c>
      <c r="C289" t="s">
        <v>674</v>
      </c>
      <c r="D289" t="s">
        <v>357</v>
      </c>
      <c r="E289" t="s">
        <v>657</v>
      </c>
      <c r="F289" t="s">
        <v>915</v>
      </c>
      <c r="G289" t="s">
        <v>924</v>
      </c>
      <c r="H289">
        <v>11</v>
      </c>
      <c r="I289" t="s">
        <v>926</v>
      </c>
      <c r="J289" t="s">
        <v>941</v>
      </c>
      <c r="K289" t="s">
        <v>879</v>
      </c>
    </row>
    <row r="290" spans="1:11" x14ac:dyDescent="0.35">
      <c r="A290" t="s">
        <v>675</v>
      </c>
      <c r="B290" s="1">
        <v>43435</v>
      </c>
      <c r="C290" t="s">
        <v>676</v>
      </c>
      <c r="D290" t="s">
        <v>377</v>
      </c>
      <c r="E290" t="s">
        <v>660</v>
      </c>
      <c r="F290" t="s">
        <v>915</v>
      </c>
      <c r="G290" t="s">
        <v>924</v>
      </c>
      <c r="H290">
        <v>12</v>
      </c>
      <c r="I290" t="s">
        <v>927</v>
      </c>
      <c r="J290" t="s">
        <v>942</v>
      </c>
      <c r="K290" t="s">
        <v>879</v>
      </c>
    </row>
    <row r="291" spans="1:11" x14ac:dyDescent="0.35">
      <c r="A291" t="s">
        <v>677</v>
      </c>
      <c r="B291" s="1">
        <v>43436</v>
      </c>
      <c r="C291" t="s">
        <v>107</v>
      </c>
      <c r="D291" t="s">
        <v>388</v>
      </c>
      <c r="E291" t="s">
        <v>663</v>
      </c>
      <c r="F291" t="s">
        <v>915</v>
      </c>
      <c r="G291" t="s">
        <v>924</v>
      </c>
      <c r="H291">
        <v>12</v>
      </c>
      <c r="I291" t="s">
        <v>927</v>
      </c>
      <c r="J291" t="s">
        <v>942</v>
      </c>
      <c r="K291" t="s">
        <v>879</v>
      </c>
    </row>
    <row r="292" spans="1:11" x14ac:dyDescent="0.35">
      <c r="A292" t="s">
        <v>678</v>
      </c>
      <c r="B292" s="1">
        <v>43437</v>
      </c>
      <c r="C292" t="s">
        <v>285</v>
      </c>
      <c r="D292" t="s">
        <v>353</v>
      </c>
      <c r="E292" t="s">
        <v>655</v>
      </c>
      <c r="F292" t="s">
        <v>915</v>
      </c>
      <c r="G292" t="s">
        <v>924</v>
      </c>
      <c r="H292">
        <v>12</v>
      </c>
      <c r="I292" t="s">
        <v>927</v>
      </c>
      <c r="J292" t="s">
        <v>942</v>
      </c>
      <c r="K292" t="s">
        <v>879</v>
      </c>
    </row>
    <row r="293" spans="1:11" x14ac:dyDescent="0.35">
      <c r="A293" t="s">
        <v>319</v>
      </c>
      <c r="B293" s="1">
        <v>43438</v>
      </c>
      <c r="C293" t="s">
        <v>320</v>
      </c>
      <c r="D293" t="s">
        <v>193</v>
      </c>
      <c r="E293" t="s">
        <v>230</v>
      </c>
      <c r="F293" t="s">
        <v>915</v>
      </c>
      <c r="G293" t="s">
        <v>924</v>
      </c>
      <c r="H293">
        <v>12</v>
      </c>
      <c r="I293" t="s">
        <v>927</v>
      </c>
      <c r="J293" t="s">
        <v>942</v>
      </c>
      <c r="K293" t="s">
        <v>879</v>
      </c>
    </row>
    <row r="294" spans="1:11" x14ac:dyDescent="0.35">
      <c r="A294" t="s">
        <v>104</v>
      </c>
      <c r="B294" s="1">
        <v>43438</v>
      </c>
      <c r="C294" t="s">
        <v>105</v>
      </c>
      <c r="D294" t="s">
        <v>7</v>
      </c>
      <c r="E294" t="s">
        <v>8</v>
      </c>
      <c r="F294" t="s">
        <v>915</v>
      </c>
      <c r="G294" t="s">
        <v>924</v>
      </c>
      <c r="H294">
        <v>12</v>
      </c>
      <c r="I294" t="s">
        <v>927</v>
      </c>
      <c r="J294" t="s">
        <v>942</v>
      </c>
      <c r="K294" t="s">
        <v>879</v>
      </c>
    </row>
    <row r="295" spans="1:11" x14ac:dyDescent="0.35">
      <c r="A295" t="s">
        <v>679</v>
      </c>
      <c r="B295" s="1">
        <v>43438</v>
      </c>
      <c r="C295" t="s">
        <v>62</v>
      </c>
      <c r="D295" t="s">
        <v>357</v>
      </c>
      <c r="E295" t="s">
        <v>657</v>
      </c>
      <c r="F295" t="s">
        <v>915</v>
      </c>
      <c r="G295" t="s">
        <v>924</v>
      </c>
      <c r="H295">
        <v>12</v>
      </c>
      <c r="I295" t="s">
        <v>927</v>
      </c>
      <c r="J295" t="s">
        <v>942</v>
      </c>
      <c r="K295" t="s">
        <v>879</v>
      </c>
    </row>
    <row r="296" spans="1:11" x14ac:dyDescent="0.35">
      <c r="A296" t="s">
        <v>680</v>
      </c>
      <c r="B296" s="1">
        <v>43438</v>
      </c>
      <c r="C296" t="s">
        <v>681</v>
      </c>
      <c r="D296" t="s">
        <v>377</v>
      </c>
      <c r="E296" t="s">
        <v>660</v>
      </c>
      <c r="F296" t="s">
        <v>915</v>
      </c>
      <c r="G296" t="s">
        <v>924</v>
      </c>
      <c r="H296">
        <v>12</v>
      </c>
      <c r="I296" t="s">
        <v>927</v>
      </c>
      <c r="J296" t="s">
        <v>942</v>
      </c>
      <c r="K296" t="s">
        <v>879</v>
      </c>
    </row>
    <row r="297" spans="1:11" x14ac:dyDescent="0.35">
      <c r="A297" t="s">
        <v>682</v>
      </c>
      <c r="B297" s="1">
        <v>43438</v>
      </c>
      <c r="C297" t="s">
        <v>683</v>
      </c>
      <c r="D297" t="s">
        <v>388</v>
      </c>
      <c r="E297" t="s">
        <v>663</v>
      </c>
      <c r="F297" t="s">
        <v>915</v>
      </c>
      <c r="G297" t="s">
        <v>924</v>
      </c>
      <c r="H297">
        <v>12</v>
      </c>
      <c r="I297" t="s">
        <v>927</v>
      </c>
      <c r="J297" t="s">
        <v>942</v>
      </c>
      <c r="K297" t="s">
        <v>879</v>
      </c>
    </row>
    <row r="298" spans="1:11" x14ac:dyDescent="0.35">
      <c r="A298" t="s">
        <v>684</v>
      </c>
      <c r="B298" s="1">
        <v>43438</v>
      </c>
      <c r="C298" t="s">
        <v>685</v>
      </c>
      <c r="D298" t="s">
        <v>353</v>
      </c>
      <c r="E298" t="s">
        <v>655</v>
      </c>
      <c r="F298" t="s">
        <v>915</v>
      </c>
      <c r="G298" t="s">
        <v>924</v>
      </c>
      <c r="H298">
        <v>12</v>
      </c>
      <c r="I298" t="s">
        <v>927</v>
      </c>
      <c r="J298" t="s">
        <v>942</v>
      </c>
      <c r="K298" t="s">
        <v>879</v>
      </c>
    </row>
    <row r="299" spans="1:11" x14ac:dyDescent="0.35">
      <c r="A299" t="s">
        <v>321</v>
      </c>
      <c r="B299" s="1">
        <v>43439</v>
      </c>
      <c r="C299" t="s">
        <v>322</v>
      </c>
      <c r="D299" t="s">
        <v>193</v>
      </c>
      <c r="E299" t="s">
        <v>230</v>
      </c>
      <c r="F299" t="s">
        <v>915</v>
      </c>
      <c r="G299" t="s">
        <v>924</v>
      </c>
      <c r="H299">
        <v>12</v>
      </c>
      <c r="I299" t="s">
        <v>927</v>
      </c>
      <c r="J299" t="s">
        <v>942</v>
      </c>
      <c r="K299" t="s">
        <v>879</v>
      </c>
    </row>
    <row r="300" spans="1:11" x14ac:dyDescent="0.35">
      <c r="A300" t="s">
        <v>106</v>
      </c>
      <c r="B300" s="1">
        <v>43440</v>
      </c>
      <c r="C300" t="s">
        <v>107</v>
      </c>
      <c r="D300" t="s">
        <v>7</v>
      </c>
      <c r="E300" t="s">
        <v>8</v>
      </c>
      <c r="F300" t="s">
        <v>915</v>
      </c>
      <c r="G300" t="s">
        <v>924</v>
      </c>
      <c r="H300">
        <v>12</v>
      </c>
      <c r="I300" t="s">
        <v>927</v>
      </c>
      <c r="J300" t="s">
        <v>942</v>
      </c>
      <c r="K300" t="s">
        <v>879</v>
      </c>
    </row>
    <row r="301" spans="1:11" x14ac:dyDescent="0.35">
      <c r="A301" t="s">
        <v>686</v>
      </c>
      <c r="B301" s="1">
        <v>43441</v>
      </c>
      <c r="C301" t="s">
        <v>285</v>
      </c>
      <c r="D301" t="s">
        <v>357</v>
      </c>
      <c r="E301" t="s">
        <v>657</v>
      </c>
      <c r="F301" t="s">
        <v>915</v>
      </c>
      <c r="G301" t="s">
        <v>924</v>
      </c>
      <c r="H301">
        <v>12</v>
      </c>
      <c r="I301" t="s">
        <v>927</v>
      </c>
      <c r="J301" t="s">
        <v>942</v>
      </c>
      <c r="K301" t="s">
        <v>879</v>
      </c>
    </row>
    <row r="302" spans="1:11" x14ac:dyDescent="0.35">
      <c r="A302" t="s">
        <v>687</v>
      </c>
      <c r="B302" s="1">
        <v>43442</v>
      </c>
      <c r="C302" t="s">
        <v>688</v>
      </c>
      <c r="D302" t="s">
        <v>377</v>
      </c>
      <c r="E302" t="s">
        <v>660</v>
      </c>
      <c r="F302" t="s">
        <v>915</v>
      </c>
      <c r="G302" t="s">
        <v>924</v>
      </c>
      <c r="H302">
        <v>12</v>
      </c>
      <c r="I302" t="s">
        <v>927</v>
      </c>
      <c r="J302" t="s">
        <v>942</v>
      </c>
      <c r="K302" t="s">
        <v>879</v>
      </c>
    </row>
    <row r="303" spans="1:11" x14ac:dyDescent="0.35">
      <c r="A303" t="s">
        <v>689</v>
      </c>
      <c r="B303" s="1">
        <v>43443</v>
      </c>
      <c r="C303" t="s">
        <v>94</v>
      </c>
      <c r="D303" t="s">
        <v>388</v>
      </c>
      <c r="E303" t="s">
        <v>663</v>
      </c>
      <c r="F303" t="s">
        <v>915</v>
      </c>
      <c r="G303" t="s">
        <v>924</v>
      </c>
      <c r="H303">
        <v>12</v>
      </c>
      <c r="I303" t="s">
        <v>927</v>
      </c>
      <c r="J303" t="s">
        <v>942</v>
      </c>
      <c r="K303" t="s">
        <v>879</v>
      </c>
    </row>
    <row r="304" spans="1:11" x14ac:dyDescent="0.35">
      <c r="A304" t="s">
        <v>690</v>
      </c>
      <c r="B304" s="1">
        <v>43444</v>
      </c>
      <c r="C304" t="s">
        <v>691</v>
      </c>
      <c r="D304" t="s">
        <v>353</v>
      </c>
      <c r="E304" t="s">
        <v>655</v>
      </c>
      <c r="F304" t="s">
        <v>915</v>
      </c>
      <c r="G304" t="s">
        <v>924</v>
      </c>
      <c r="H304">
        <v>12</v>
      </c>
      <c r="I304" t="s">
        <v>927</v>
      </c>
      <c r="J304" t="s">
        <v>942</v>
      </c>
      <c r="K304" t="s">
        <v>879</v>
      </c>
    </row>
    <row r="305" spans="1:11" x14ac:dyDescent="0.35">
      <c r="A305" t="s">
        <v>323</v>
      </c>
      <c r="B305" s="1">
        <v>43444</v>
      </c>
      <c r="C305" t="s">
        <v>324</v>
      </c>
      <c r="D305" t="s">
        <v>193</v>
      </c>
      <c r="E305" t="s">
        <v>230</v>
      </c>
      <c r="F305" t="s">
        <v>915</v>
      </c>
      <c r="G305" t="s">
        <v>924</v>
      </c>
      <c r="H305">
        <v>12</v>
      </c>
      <c r="I305" t="s">
        <v>927</v>
      </c>
      <c r="J305" t="s">
        <v>942</v>
      </c>
      <c r="K305" t="s">
        <v>879</v>
      </c>
    </row>
    <row r="306" spans="1:11" x14ac:dyDescent="0.35">
      <c r="A306" t="s">
        <v>108</v>
      </c>
      <c r="B306" s="1">
        <v>43444</v>
      </c>
      <c r="C306" t="s">
        <v>109</v>
      </c>
      <c r="D306" t="s">
        <v>7</v>
      </c>
      <c r="E306" t="s">
        <v>8</v>
      </c>
      <c r="F306" t="s">
        <v>915</v>
      </c>
      <c r="G306" t="s">
        <v>924</v>
      </c>
      <c r="H306">
        <v>12</v>
      </c>
      <c r="I306" t="s">
        <v>927</v>
      </c>
      <c r="J306" t="s">
        <v>942</v>
      </c>
      <c r="K306" t="s">
        <v>879</v>
      </c>
    </row>
    <row r="307" spans="1:11" x14ac:dyDescent="0.35">
      <c r="A307" t="s">
        <v>692</v>
      </c>
      <c r="B307" s="1">
        <v>43444</v>
      </c>
      <c r="C307" t="s">
        <v>78</v>
      </c>
      <c r="D307" t="s">
        <v>174</v>
      </c>
      <c r="E307" t="s">
        <v>174</v>
      </c>
      <c r="F307" t="s">
        <v>915</v>
      </c>
      <c r="G307" t="s">
        <v>924</v>
      </c>
      <c r="H307">
        <v>12</v>
      </c>
      <c r="I307" t="s">
        <v>927</v>
      </c>
      <c r="J307" t="s">
        <v>942</v>
      </c>
      <c r="K307" t="s">
        <v>879</v>
      </c>
    </row>
    <row r="308" spans="1:11" x14ac:dyDescent="0.35">
      <c r="A308" t="s">
        <v>172</v>
      </c>
      <c r="B308" s="1">
        <v>43445</v>
      </c>
      <c r="C308" t="s">
        <v>173</v>
      </c>
      <c r="D308" t="s">
        <v>7</v>
      </c>
      <c r="E308" t="s">
        <v>174</v>
      </c>
      <c r="F308" t="s">
        <v>915</v>
      </c>
      <c r="G308" t="s">
        <v>924</v>
      </c>
      <c r="H308">
        <v>12</v>
      </c>
      <c r="I308" t="s">
        <v>927</v>
      </c>
      <c r="J308" t="s">
        <v>942</v>
      </c>
      <c r="K308" t="s">
        <v>879</v>
      </c>
    </row>
    <row r="309" spans="1:11" x14ac:dyDescent="0.35">
      <c r="A309" t="s">
        <v>693</v>
      </c>
      <c r="B309" s="1">
        <v>43445</v>
      </c>
      <c r="C309" t="s">
        <v>694</v>
      </c>
      <c r="D309" t="s">
        <v>174</v>
      </c>
      <c r="E309" t="s">
        <v>174</v>
      </c>
      <c r="F309" t="s">
        <v>915</v>
      </c>
      <c r="G309" t="s">
        <v>924</v>
      </c>
      <c r="H309">
        <v>12</v>
      </c>
      <c r="I309" t="s">
        <v>927</v>
      </c>
      <c r="J309" t="s">
        <v>942</v>
      </c>
      <c r="K309" t="s">
        <v>879</v>
      </c>
    </row>
    <row r="310" spans="1:11" x14ac:dyDescent="0.35">
      <c r="A310" t="s">
        <v>175</v>
      </c>
      <c r="B310" s="1">
        <v>43445</v>
      </c>
      <c r="C310" t="s">
        <v>176</v>
      </c>
      <c r="D310" t="s">
        <v>7</v>
      </c>
      <c r="E310" t="s">
        <v>148</v>
      </c>
      <c r="F310" t="s">
        <v>915</v>
      </c>
      <c r="G310" t="s">
        <v>924</v>
      </c>
      <c r="H310">
        <v>12</v>
      </c>
      <c r="I310" t="s">
        <v>927</v>
      </c>
      <c r="J310" t="s">
        <v>942</v>
      </c>
      <c r="K310" t="s">
        <v>879</v>
      </c>
    </row>
    <row r="311" spans="1:11" x14ac:dyDescent="0.35">
      <c r="A311" t="s">
        <v>695</v>
      </c>
      <c r="B311" s="1">
        <v>43446</v>
      </c>
      <c r="C311" t="s">
        <v>696</v>
      </c>
      <c r="D311" t="s">
        <v>174</v>
      </c>
      <c r="E311" t="s">
        <v>174</v>
      </c>
      <c r="F311" t="s">
        <v>915</v>
      </c>
      <c r="G311" t="s">
        <v>924</v>
      </c>
      <c r="H311">
        <v>12</v>
      </c>
      <c r="I311" t="s">
        <v>927</v>
      </c>
      <c r="J311" t="s">
        <v>942</v>
      </c>
      <c r="K311" t="s">
        <v>879</v>
      </c>
    </row>
    <row r="312" spans="1:11" x14ac:dyDescent="0.35">
      <c r="A312" t="s">
        <v>177</v>
      </c>
      <c r="B312" s="1">
        <v>43447</v>
      </c>
      <c r="C312" t="s">
        <v>178</v>
      </c>
      <c r="D312" t="s">
        <v>7</v>
      </c>
      <c r="E312" t="s">
        <v>174</v>
      </c>
      <c r="F312" t="s">
        <v>915</v>
      </c>
      <c r="G312" t="s">
        <v>924</v>
      </c>
      <c r="H312">
        <v>12</v>
      </c>
      <c r="I312" t="s">
        <v>927</v>
      </c>
      <c r="J312" t="s">
        <v>942</v>
      </c>
      <c r="K312" t="s">
        <v>879</v>
      </c>
    </row>
    <row r="313" spans="1:11" x14ac:dyDescent="0.35">
      <c r="A313" t="s">
        <v>697</v>
      </c>
      <c r="B313" s="1">
        <v>43448</v>
      </c>
      <c r="C313" t="s">
        <v>698</v>
      </c>
      <c r="D313" t="s">
        <v>174</v>
      </c>
      <c r="E313" t="s">
        <v>174</v>
      </c>
      <c r="F313" t="s">
        <v>915</v>
      </c>
      <c r="G313" t="s">
        <v>924</v>
      </c>
      <c r="H313">
        <v>12</v>
      </c>
      <c r="I313" t="s">
        <v>927</v>
      </c>
      <c r="J313" t="s">
        <v>942</v>
      </c>
      <c r="K313" t="s">
        <v>947</v>
      </c>
    </row>
    <row r="314" spans="1:11" x14ac:dyDescent="0.35">
      <c r="A314" t="s">
        <v>179</v>
      </c>
      <c r="B314" s="1">
        <v>43449</v>
      </c>
      <c r="C314" t="s">
        <v>180</v>
      </c>
      <c r="D314" t="s">
        <v>7</v>
      </c>
      <c r="E314" t="s">
        <v>148</v>
      </c>
      <c r="F314" t="s">
        <v>915</v>
      </c>
      <c r="G314" t="s">
        <v>924</v>
      </c>
      <c r="H314">
        <v>12</v>
      </c>
      <c r="I314" t="s">
        <v>927</v>
      </c>
      <c r="J314" t="s">
        <v>942</v>
      </c>
      <c r="K314" t="s">
        <v>879</v>
      </c>
    </row>
    <row r="315" spans="1:11" x14ac:dyDescent="0.35">
      <c r="A315" t="s">
        <v>699</v>
      </c>
      <c r="B315" s="1">
        <v>43450</v>
      </c>
      <c r="C315" t="s">
        <v>700</v>
      </c>
      <c r="D315" t="s">
        <v>174</v>
      </c>
      <c r="E315" t="s">
        <v>174</v>
      </c>
      <c r="F315" t="s">
        <v>915</v>
      </c>
      <c r="G315" t="s">
        <v>924</v>
      </c>
      <c r="H315">
        <v>12</v>
      </c>
      <c r="I315" t="s">
        <v>927</v>
      </c>
      <c r="J315" t="s">
        <v>942</v>
      </c>
      <c r="K315" t="s">
        <v>879</v>
      </c>
    </row>
    <row r="316" spans="1:11" x14ac:dyDescent="0.35">
      <c r="A316" t="s">
        <v>181</v>
      </c>
      <c r="B316" s="1">
        <v>43451</v>
      </c>
      <c r="C316" t="s">
        <v>182</v>
      </c>
      <c r="D316" t="s">
        <v>7</v>
      </c>
      <c r="E316" t="s">
        <v>174</v>
      </c>
      <c r="F316" t="s">
        <v>915</v>
      </c>
      <c r="G316" t="s">
        <v>924</v>
      </c>
      <c r="H316">
        <v>12</v>
      </c>
      <c r="I316" t="s">
        <v>927</v>
      </c>
      <c r="J316" t="s">
        <v>942</v>
      </c>
      <c r="K316" t="s">
        <v>879</v>
      </c>
    </row>
    <row r="317" spans="1:11" x14ac:dyDescent="0.35">
      <c r="A317" t="s">
        <v>701</v>
      </c>
      <c r="B317" s="1">
        <v>43452</v>
      </c>
      <c r="C317" t="s">
        <v>702</v>
      </c>
      <c r="D317" t="s">
        <v>174</v>
      </c>
      <c r="E317" t="s">
        <v>174</v>
      </c>
      <c r="F317" t="s">
        <v>915</v>
      </c>
      <c r="G317" t="s">
        <v>924</v>
      </c>
      <c r="H317">
        <v>12</v>
      </c>
      <c r="I317" t="s">
        <v>927</v>
      </c>
      <c r="J317" t="s">
        <v>942</v>
      </c>
      <c r="K317" t="s">
        <v>879</v>
      </c>
    </row>
    <row r="318" spans="1:11" x14ac:dyDescent="0.35">
      <c r="A318" t="s">
        <v>703</v>
      </c>
      <c r="B318" s="1">
        <v>43453</v>
      </c>
      <c r="C318" t="s">
        <v>704</v>
      </c>
      <c r="D318" t="s">
        <v>388</v>
      </c>
      <c r="E318" t="s">
        <v>663</v>
      </c>
      <c r="F318" t="s">
        <v>915</v>
      </c>
      <c r="G318" t="s">
        <v>924</v>
      </c>
      <c r="H318">
        <v>12</v>
      </c>
      <c r="I318" t="s">
        <v>927</v>
      </c>
      <c r="J318" t="s">
        <v>942</v>
      </c>
      <c r="K318" t="s">
        <v>879</v>
      </c>
    </row>
    <row r="319" spans="1:11" x14ac:dyDescent="0.35">
      <c r="A319" t="s">
        <v>705</v>
      </c>
      <c r="B319" s="1">
        <v>43454</v>
      </c>
      <c r="C319" t="s">
        <v>706</v>
      </c>
      <c r="D319" t="s">
        <v>353</v>
      </c>
      <c r="E319" t="s">
        <v>655</v>
      </c>
      <c r="F319" t="s">
        <v>915</v>
      </c>
      <c r="G319" t="s">
        <v>924</v>
      </c>
      <c r="H319">
        <v>12</v>
      </c>
      <c r="I319" t="s">
        <v>927</v>
      </c>
      <c r="J319" t="s">
        <v>942</v>
      </c>
      <c r="K319" t="s">
        <v>879</v>
      </c>
    </row>
    <row r="320" spans="1:11" x14ac:dyDescent="0.35">
      <c r="A320" t="s">
        <v>325</v>
      </c>
      <c r="B320" s="1">
        <v>43455</v>
      </c>
      <c r="C320" t="s">
        <v>326</v>
      </c>
      <c r="D320" t="s">
        <v>193</v>
      </c>
      <c r="E320" t="s">
        <v>230</v>
      </c>
      <c r="F320" t="s">
        <v>915</v>
      </c>
      <c r="G320" t="s">
        <v>924</v>
      </c>
      <c r="H320">
        <v>12</v>
      </c>
      <c r="I320" t="s">
        <v>927</v>
      </c>
      <c r="J320" t="s">
        <v>942</v>
      </c>
      <c r="K320" t="s">
        <v>879</v>
      </c>
    </row>
    <row r="321" spans="1:11" x14ac:dyDescent="0.35">
      <c r="A321" t="s">
        <v>110</v>
      </c>
      <c r="B321" s="1">
        <v>43456</v>
      </c>
      <c r="C321" t="s">
        <v>111</v>
      </c>
      <c r="D321" t="s">
        <v>7</v>
      </c>
      <c r="E321" t="s">
        <v>8</v>
      </c>
      <c r="F321" t="s">
        <v>915</v>
      </c>
      <c r="G321" t="s">
        <v>924</v>
      </c>
      <c r="H321">
        <v>12</v>
      </c>
      <c r="I321" t="s">
        <v>927</v>
      </c>
      <c r="J321" t="s">
        <v>942</v>
      </c>
      <c r="K321" t="s">
        <v>879</v>
      </c>
    </row>
    <row r="322" spans="1:11" x14ac:dyDescent="0.35">
      <c r="A322" t="s">
        <v>707</v>
      </c>
      <c r="B322" s="1">
        <v>43457</v>
      </c>
      <c r="C322" t="s">
        <v>708</v>
      </c>
      <c r="D322" t="s">
        <v>357</v>
      </c>
      <c r="E322" t="s">
        <v>657</v>
      </c>
      <c r="F322" t="s">
        <v>915</v>
      </c>
      <c r="G322" t="s">
        <v>924</v>
      </c>
      <c r="H322">
        <v>12</v>
      </c>
      <c r="I322" t="s">
        <v>927</v>
      </c>
      <c r="J322" t="s">
        <v>942</v>
      </c>
      <c r="K322" t="s">
        <v>879</v>
      </c>
    </row>
    <row r="323" spans="1:11" x14ac:dyDescent="0.35">
      <c r="A323" t="s">
        <v>709</v>
      </c>
      <c r="B323" s="1">
        <v>43458</v>
      </c>
      <c r="C323" t="s">
        <v>710</v>
      </c>
      <c r="D323" t="s">
        <v>377</v>
      </c>
      <c r="E323" t="s">
        <v>660</v>
      </c>
      <c r="F323" t="s">
        <v>915</v>
      </c>
      <c r="G323" t="s">
        <v>924</v>
      </c>
      <c r="H323">
        <v>12</v>
      </c>
      <c r="I323" t="s">
        <v>927</v>
      </c>
      <c r="J323" t="s">
        <v>942</v>
      </c>
      <c r="K323" t="s">
        <v>879</v>
      </c>
    </row>
    <row r="324" spans="1:11" x14ac:dyDescent="0.35">
      <c r="A324" t="s">
        <v>711</v>
      </c>
      <c r="B324" s="1">
        <v>43459</v>
      </c>
      <c r="C324" t="s">
        <v>712</v>
      </c>
      <c r="D324" t="s">
        <v>388</v>
      </c>
      <c r="E324" t="s">
        <v>663</v>
      </c>
      <c r="F324" t="s">
        <v>915</v>
      </c>
      <c r="G324" t="s">
        <v>924</v>
      </c>
      <c r="H324">
        <v>12</v>
      </c>
      <c r="I324" t="s">
        <v>927</v>
      </c>
      <c r="J324" t="s">
        <v>942</v>
      </c>
      <c r="K324" t="s">
        <v>947</v>
      </c>
    </row>
    <row r="325" spans="1:11" x14ac:dyDescent="0.35">
      <c r="A325" t="s">
        <v>713</v>
      </c>
      <c r="B325" s="1">
        <v>43460</v>
      </c>
      <c r="C325" t="s">
        <v>714</v>
      </c>
      <c r="D325" t="s">
        <v>353</v>
      </c>
      <c r="E325" t="s">
        <v>655</v>
      </c>
      <c r="F325" t="s">
        <v>915</v>
      </c>
      <c r="G325" t="s">
        <v>924</v>
      </c>
      <c r="H325">
        <v>12</v>
      </c>
      <c r="I325" t="s">
        <v>927</v>
      </c>
      <c r="J325" t="s">
        <v>942</v>
      </c>
      <c r="K325" t="s">
        <v>879</v>
      </c>
    </row>
    <row r="326" spans="1:11" x14ac:dyDescent="0.35">
      <c r="A326" t="s">
        <v>327</v>
      </c>
      <c r="B326" s="1">
        <v>43461</v>
      </c>
      <c r="C326" t="s">
        <v>328</v>
      </c>
      <c r="D326" t="s">
        <v>193</v>
      </c>
      <c r="E326" t="s">
        <v>230</v>
      </c>
      <c r="F326" t="s">
        <v>915</v>
      </c>
      <c r="G326" t="s">
        <v>924</v>
      </c>
      <c r="H326">
        <v>12</v>
      </c>
      <c r="I326" t="s">
        <v>927</v>
      </c>
      <c r="J326" t="s">
        <v>942</v>
      </c>
      <c r="K326" t="s">
        <v>879</v>
      </c>
    </row>
    <row r="327" spans="1:11" x14ac:dyDescent="0.35">
      <c r="A327" t="s">
        <v>715</v>
      </c>
      <c r="B327" s="1">
        <v>43462</v>
      </c>
      <c r="C327" t="s">
        <v>716</v>
      </c>
      <c r="D327" t="s">
        <v>365</v>
      </c>
      <c r="E327" t="s">
        <v>366</v>
      </c>
      <c r="F327" t="s">
        <v>915</v>
      </c>
      <c r="G327" t="s">
        <v>924</v>
      </c>
      <c r="H327">
        <v>12</v>
      </c>
      <c r="I327" t="s">
        <v>927</v>
      </c>
      <c r="J327" t="s">
        <v>942</v>
      </c>
      <c r="K327" t="s">
        <v>879</v>
      </c>
    </row>
    <row r="328" spans="1:11" x14ac:dyDescent="0.35">
      <c r="A328" t="s">
        <v>329</v>
      </c>
      <c r="B328" s="1">
        <v>43463</v>
      </c>
      <c r="C328" t="s">
        <v>121</v>
      </c>
      <c r="D328" t="s">
        <v>193</v>
      </c>
      <c r="E328" t="s">
        <v>230</v>
      </c>
      <c r="F328" t="s">
        <v>915</v>
      </c>
      <c r="G328" t="s">
        <v>924</v>
      </c>
      <c r="H328">
        <v>12</v>
      </c>
      <c r="I328" t="s">
        <v>927</v>
      </c>
      <c r="J328" t="s">
        <v>942</v>
      </c>
      <c r="K328" t="s">
        <v>947</v>
      </c>
    </row>
    <row r="329" spans="1:11" x14ac:dyDescent="0.35">
      <c r="A329" t="s">
        <v>112</v>
      </c>
      <c r="B329" s="1">
        <v>43464</v>
      </c>
      <c r="C329" t="s">
        <v>113</v>
      </c>
      <c r="D329" t="s">
        <v>7</v>
      </c>
      <c r="E329" t="s">
        <v>8</v>
      </c>
      <c r="F329" t="s">
        <v>915</v>
      </c>
      <c r="G329" t="s">
        <v>924</v>
      </c>
      <c r="H329">
        <v>12</v>
      </c>
      <c r="I329" t="s">
        <v>927</v>
      </c>
      <c r="J329" t="s">
        <v>942</v>
      </c>
      <c r="K329" t="s">
        <v>879</v>
      </c>
    </row>
    <row r="330" spans="1:11" x14ac:dyDescent="0.35">
      <c r="A330" t="s">
        <v>717</v>
      </c>
      <c r="B330" s="1">
        <v>43465</v>
      </c>
      <c r="C330" t="s">
        <v>156</v>
      </c>
      <c r="D330" t="s">
        <v>377</v>
      </c>
      <c r="E330" t="s">
        <v>378</v>
      </c>
      <c r="F330" t="s">
        <v>915</v>
      </c>
      <c r="G330" t="s">
        <v>924</v>
      </c>
      <c r="H330">
        <v>12</v>
      </c>
      <c r="I330" t="s">
        <v>927</v>
      </c>
      <c r="J330" t="s">
        <v>942</v>
      </c>
      <c r="K330" t="s">
        <v>879</v>
      </c>
    </row>
    <row r="331" spans="1:11" x14ac:dyDescent="0.35">
      <c r="A331" t="s">
        <v>718</v>
      </c>
      <c r="B331" s="1">
        <v>43466</v>
      </c>
      <c r="C331" t="s">
        <v>719</v>
      </c>
      <c r="D331" t="s">
        <v>380</v>
      </c>
      <c r="E331" t="s">
        <v>381</v>
      </c>
      <c r="F331" t="s">
        <v>928</v>
      </c>
      <c r="G331" t="s">
        <v>929</v>
      </c>
      <c r="H331">
        <v>1</v>
      </c>
      <c r="I331" t="s">
        <v>930</v>
      </c>
      <c r="J331" t="s">
        <v>943</v>
      </c>
      <c r="K331" t="s">
        <v>879</v>
      </c>
    </row>
    <row r="332" spans="1:11" x14ac:dyDescent="0.35">
      <c r="A332" t="s">
        <v>720</v>
      </c>
      <c r="B332" s="1">
        <v>43467</v>
      </c>
      <c r="C332" t="s">
        <v>721</v>
      </c>
      <c r="D332" t="s">
        <v>384</v>
      </c>
      <c r="E332" t="s">
        <v>385</v>
      </c>
      <c r="F332" t="s">
        <v>928</v>
      </c>
      <c r="G332" t="s">
        <v>929</v>
      </c>
      <c r="H332">
        <v>1</v>
      </c>
      <c r="I332" t="s">
        <v>930</v>
      </c>
      <c r="J332" t="s">
        <v>943</v>
      </c>
      <c r="K332" t="s">
        <v>879</v>
      </c>
    </row>
    <row r="333" spans="1:11" x14ac:dyDescent="0.35">
      <c r="A333" t="s">
        <v>722</v>
      </c>
      <c r="B333" s="1">
        <v>43468</v>
      </c>
      <c r="C333" t="s">
        <v>723</v>
      </c>
      <c r="D333" t="s">
        <v>388</v>
      </c>
      <c r="E333" t="s">
        <v>389</v>
      </c>
      <c r="F333" t="s">
        <v>928</v>
      </c>
      <c r="G333" t="s">
        <v>929</v>
      </c>
      <c r="H333">
        <v>1</v>
      </c>
      <c r="I333" t="s">
        <v>930</v>
      </c>
      <c r="J333" t="s">
        <v>943</v>
      </c>
      <c r="K333" t="s">
        <v>879</v>
      </c>
    </row>
    <row r="334" spans="1:11" x14ac:dyDescent="0.35">
      <c r="A334" t="s">
        <v>330</v>
      </c>
      <c r="B334" s="1">
        <v>43469</v>
      </c>
      <c r="C334" t="s">
        <v>331</v>
      </c>
      <c r="D334" t="s">
        <v>193</v>
      </c>
      <c r="E334" t="s">
        <v>230</v>
      </c>
      <c r="F334" t="s">
        <v>928</v>
      </c>
      <c r="G334" t="s">
        <v>929</v>
      </c>
      <c r="H334">
        <v>1</v>
      </c>
      <c r="I334" t="s">
        <v>930</v>
      </c>
      <c r="J334" t="s">
        <v>943</v>
      </c>
      <c r="K334" t="s">
        <v>947</v>
      </c>
    </row>
    <row r="335" spans="1:11" x14ac:dyDescent="0.35">
      <c r="A335" t="s">
        <v>114</v>
      </c>
      <c r="B335" s="1">
        <v>43469</v>
      </c>
      <c r="C335" t="s">
        <v>115</v>
      </c>
      <c r="D335" t="s">
        <v>7</v>
      </c>
      <c r="E335" t="s">
        <v>8</v>
      </c>
      <c r="F335" t="s">
        <v>928</v>
      </c>
      <c r="G335" t="s">
        <v>929</v>
      </c>
      <c r="H335">
        <v>1</v>
      </c>
      <c r="I335" t="s">
        <v>930</v>
      </c>
      <c r="J335" t="s">
        <v>943</v>
      </c>
      <c r="K335" t="s">
        <v>947</v>
      </c>
    </row>
    <row r="336" spans="1:11" x14ac:dyDescent="0.35">
      <c r="A336" t="s">
        <v>332</v>
      </c>
      <c r="B336" s="1">
        <v>43469</v>
      </c>
      <c r="C336" t="s">
        <v>333</v>
      </c>
      <c r="D336" t="s">
        <v>193</v>
      </c>
      <c r="E336" t="s">
        <v>230</v>
      </c>
      <c r="F336" t="s">
        <v>928</v>
      </c>
      <c r="G336" t="s">
        <v>929</v>
      </c>
      <c r="H336">
        <v>1</v>
      </c>
      <c r="I336" t="s">
        <v>930</v>
      </c>
      <c r="J336" t="s">
        <v>943</v>
      </c>
      <c r="K336" t="s">
        <v>947</v>
      </c>
    </row>
    <row r="337" spans="1:11" x14ac:dyDescent="0.35">
      <c r="A337" t="s">
        <v>116</v>
      </c>
      <c r="B337" s="1">
        <v>43469</v>
      </c>
      <c r="C337" t="s">
        <v>117</v>
      </c>
      <c r="D337" t="s">
        <v>7</v>
      </c>
      <c r="E337" t="s">
        <v>8</v>
      </c>
      <c r="F337" t="s">
        <v>928</v>
      </c>
      <c r="G337" t="s">
        <v>929</v>
      </c>
      <c r="H337">
        <v>1</v>
      </c>
      <c r="I337" t="s">
        <v>930</v>
      </c>
      <c r="J337" t="s">
        <v>943</v>
      </c>
      <c r="K337" t="s">
        <v>879</v>
      </c>
    </row>
    <row r="338" spans="1:11" x14ac:dyDescent="0.35">
      <c r="A338" t="s">
        <v>724</v>
      </c>
      <c r="B338" s="1">
        <v>43469</v>
      </c>
      <c r="C338" t="s">
        <v>725</v>
      </c>
      <c r="D338" t="s">
        <v>406</v>
      </c>
      <c r="E338" t="s">
        <v>407</v>
      </c>
      <c r="F338" t="s">
        <v>928</v>
      </c>
      <c r="G338" t="s">
        <v>929</v>
      </c>
      <c r="H338">
        <v>1</v>
      </c>
      <c r="I338" t="s">
        <v>930</v>
      </c>
      <c r="J338" t="s">
        <v>943</v>
      </c>
      <c r="K338" t="s">
        <v>879</v>
      </c>
    </row>
    <row r="339" spans="1:11" x14ac:dyDescent="0.35">
      <c r="A339" t="s">
        <v>726</v>
      </c>
      <c r="B339" s="1">
        <v>43470</v>
      </c>
      <c r="C339" t="s">
        <v>727</v>
      </c>
      <c r="D339" t="s">
        <v>388</v>
      </c>
      <c r="E339" t="s">
        <v>389</v>
      </c>
      <c r="F339" t="s">
        <v>928</v>
      </c>
      <c r="G339" t="s">
        <v>929</v>
      </c>
      <c r="H339">
        <v>1</v>
      </c>
      <c r="I339" t="s">
        <v>930</v>
      </c>
      <c r="J339" t="s">
        <v>943</v>
      </c>
      <c r="K339" t="s">
        <v>879</v>
      </c>
    </row>
    <row r="340" spans="1:11" x14ac:dyDescent="0.35">
      <c r="A340" t="s">
        <v>728</v>
      </c>
      <c r="B340" s="1">
        <v>43470</v>
      </c>
      <c r="C340" t="s">
        <v>291</v>
      </c>
      <c r="D340" t="s">
        <v>392</v>
      </c>
      <c r="E340" t="s">
        <v>389</v>
      </c>
      <c r="F340" t="s">
        <v>928</v>
      </c>
      <c r="G340" t="s">
        <v>929</v>
      </c>
      <c r="H340">
        <v>1</v>
      </c>
      <c r="I340" t="s">
        <v>930</v>
      </c>
      <c r="J340" t="s">
        <v>943</v>
      </c>
      <c r="K340" t="s">
        <v>879</v>
      </c>
    </row>
    <row r="341" spans="1:11" x14ac:dyDescent="0.35">
      <c r="A341" t="s">
        <v>729</v>
      </c>
      <c r="B341" s="1">
        <v>43470</v>
      </c>
      <c r="C341" t="s">
        <v>333</v>
      </c>
      <c r="D341" t="s">
        <v>395</v>
      </c>
      <c r="E341" t="s">
        <v>396</v>
      </c>
      <c r="F341" t="s">
        <v>928</v>
      </c>
      <c r="G341" t="s">
        <v>929</v>
      </c>
      <c r="H341">
        <v>1</v>
      </c>
      <c r="I341" t="s">
        <v>930</v>
      </c>
      <c r="J341" t="s">
        <v>943</v>
      </c>
      <c r="K341" t="s">
        <v>879</v>
      </c>
    </row>
    <row r="342" spans="1:11" x14ac:dyDescent="0.35">
      <c r="A342" t="s">
        <v>730</v>
      </c>
      <c r="B342" s="1">
        <v>43470</v>
      </c>
      <c r="C342" t="s">
        <v>731</v>
      </c>
      <c r="D342" t="s">
        <v>399</v>
      </c>
      <c r="E342" t="s">
        <v>400</v>
      </c>
      <c r="F342" t="s">
        <v>928</v>
      </c>
      <c r="G342" t="s">
        <v>929</v>
      </c>
      <c r="H342">
        <v>1</v>
      </c>
      <c r="I342" t="s">
        <v>930</v>
      </c>
      <c r="J342" t="s">
        <v>943</v>
      </c>
      <c r="K342" t="s">
        <v>879</v>
      </c>
    </row>
    <row r="343" spans="1:11" x14ac:dyDescent="0.35">
      <c r="A343" t="s">
        <v>732</v>
      </c>
      <c r="B343" s="1">
        <v>43471</v>
      </c>
      <c r="C343" t="s">
        <v>733</v>
      </c>
      <c r="D343" t="s">
        <v>403</v>
      </c>
      <c r="E343" t="s">
        <v>403</v>
      </c>
      <c r="F343" t="s">
        <v>928</v>
      </c>
      <c r="G343" t="s">
        <v>929</v>
      </c>
      <c r="H343">
        <v>1</v>
      </c>
      <c r="I343" t="s">
        <v>930</v>
      </c>
      <c r="J343" t="s">
        <v>943</v>
      </c>
      <c r="K343" t="s">
        <v>879</v>
      </c>
    </row>
    <row r="344" spans="1:11" x14ac:dyDescent="0.35">
      <c r="A344" t="s">
        <v>734</v>
      </c>
      <c r="B344" s="1">
        <v>43472</v>
      </c>
      <c r="C344" t="s">
        <v>735</v>
      </c>
      <c r="D344" t="s">
        <v>406</v>
      </c>
      <c r="E344" t="s">
        <v>407</v>
      </c>
      <c r="F344" t="s">
        <v>928</v>
      </c>
      <c r="G344" t="s">
        <v>929</v>
      </c>
      <c r="H344">
        <v>1</v>
      </c>
      <c r="I344" t="s">
        <v>930</v>
      </c>
      <c r="J344" t="s">
        <v>943</v>
      </c>
      <c r="K344" t="s">
        <v>879</v>
      </c>
    </row>
    <row r="345" spans="1:11" x14ac:dyDescent="0.35">
      <c r="A345" t="s">
        <v>736</v>
      </c>
      <c r="B345" s="1">
        <v>43473</v>
      </c>
      <c r="C345" t="s">
        <v>169</v>
      </c>
      <c r="D345" t="s">
        <v>410</v>
      </c>
      <c r="E345" t="s">
        <v>411</v>
      </c>
      <c r="F345" t="s">
        <v>928</v>
      </c>
      <c r="G345" t="s">
        <v>929</v>
      </c>
      <c r="H345">
        <v>1</v>
      </c>
      <c r="I345" t="s">
        <v>930</v>
      </c>
      <c r="J345" t="s">
        <v>943</v>
      </c>
      <c r="K345" t="s">
        <v>947</v>
      </c>
    </row>
    <row r="346" spans="1:11" x14ac:dyDescent="0.35">
      <c r="A346" t="s">
        <v>737</v>
      </c>
      <c r="B346" s="1">
        <v>43474</v>
      </c>
      <c r="C346" t="s">
        <v>738</v>
      </c>
      <c r="D346" t="s">
        <v>353</v>
      </c>
      <c r="E346" t="s">
        <v>354</v>
      </c>
      <c r="F346" t="s">
        <v>928</v>
      </c>
      <c r="G346" t="s">
        <v>929</v>
      </c>
      <c r="H346">
        <v>1</v>
      </c>
      <c r="I346" t="s">
        <v>930</v>
      </c>
      <c r="J346" t="s">
        <v>943</v>
      </c>
      <c r="K346" t="s">
        <v>879</v>
      </c>
    </row>
    <row r="347" spans="1:11" x14ac:dyDescent="0.35">
      <c r="A347" t="s">
        <v>214</v>
      </c>
      <c r="B347" s="1">
        <v>43475</v>
      </c>
      <c r="C347" t="s">
        <v>215</v>
      </c>
      <c r="D347" t="s">
        <v>193</v>
      </c>
      <c r="E347" t="s">
        <v>194</v>
      </c>
      <c r="F347" t="s">
        <v>928</v>
      </c>
      <c r="G347" t="s">
        <v>929</v>
      </c>
      <c r="H347">
        <v>1</v>
      </c>
      <c r="I347" t="s">
        <v>930</v>
      </c>
      <c r="J347" t="s">
        <v>943</v>
      </c>
      <c r="K347" t="s">
        <v>879</v>
      </c>
    </row>
    <row r="348" spans="1:11" x14ac:dyDescent="0.35">
      <c r="A348" t="s">
        <v>118</v>
      </c>
      <c r="B348" s="1">
        <v>43476</v>
      </c>
      <c r="C348" t="s">
        <v>119</v>
      </c>
      <c r="D348" t="s">
        <v>7</v>
      </c>
      <c r="E348" t="s">
        <v>8</v>
      </c>
      <c r="F348" t="s">
        <v>928</v>
      </c>
      <c r="G348" t="s">
        <v>929</v>
      </c>
      <c r="H348">
        <v>1</v>
      </c>
      <c r="I348" t="s">
        <v>930</v>
      </c>
      <c r="J348" t="s">
        <v>943</v>
      </c>
      <c r="K348" t="s">
        <v>947</v>
      </c>
    </row>
    <row r="349" spans="1:11" x14ac:dyDescent="0.35">
      <c r="A349" t="s">
        <v>739</v>
      </c>
      <c r="B349" s="1">
        <v>43477</v>
      </c>
      <c r="C349" t="s">
        <v>314</v>
      </c>
      <c r="D349" t="s">
        <v>410</v>
      </c>
      <c r="E349" t="s">
        <v>411</v>
      </c>
      <c r="F349" t="s">
        <v>928</v>
      </c>
      <c r="G349" t="s">
        <v>929</v>
      </c>
      <c r="H349">
        <v>1</v>
      </c>
      <c r="I349" t="s">
        <v>930</v>
      </c>
      <c r="J349" t="s">
        <v>943</v>
      </c>
      <c r="K349" t="s">
        <v>879</v>
      </c>
    </row>
    <row r="350" spans="1:11" x14ac:dyDescent="0.35">
      <c r="A350" t="s">
        <v>740</v>
      </c>
      <c r="B350" s="1">
        <v>43478</v>
      </c>
      <c r="C350" t="s">
        <v>741</v>
      </c>
      <c r="D350" t="s">
        <v>353</v>
      </c>
      <c r="E350" t="s">
        <v>354</v>
      </c>
      <c r="F350" t="s">
        <v>928</v>
      </c>
      <c r="G350" t="s">
        <v>929</v>
      </c>
      <c r="H350">
        <v>1</v>
      </c>
      <c r="I350" t="s">
        <v>930</v>
      </c>
      <c r="J350" t="s">
        <v>943</v>
      </c>
      <c r="K350" t="s">
        <v>879</v>
      </c>
    </row>
    <row r="351" spans="1:11" x14ac:dyDescent="0.35">
      <c r="A351" t="s">
        <v>216</v>
      </c>
      <c r="B351" s="1">
        <v>43478</v>
      </c>
      <c r="C351" t="s">
        <v>217</v>
      </c>
      <c r="D351" t="s">
        <v>193</v>
      </c>
      <c r="E351" t="s">
        <v>194</v>
      </c>
      <c r="F351" t="s">
        <v>928</v>
      </c>
      <c r="G351" t="s">
        <v>929</v>
      </c>
      <c r="H351">
        <v>1</v>
      </c>
      <c r="I351" t="s">
        <v>930</v>
      </c>
      <c r="J351" t="s">
        <v>943</v>
      </c>
      <c r="K351" t="s">
        <v>879</v>
      </c>
    </row>
    <row r="352" spans="1:11" x14ac:dyDescent="0.35">
      <c r="A352" t="s">
        <v>334</v>
      </c>
      <c r="B352" s="1">
        <v>43478</v>
      </c>
      <c r="C352" t="s">
        <v>335</v>
      </c>
      <c r="D352" t="s">
        <v>193</v>
      </c>
      <c r="E352" t="s">
        <v>230</v>
      </c>
      <c r="F352" t="s">
        <v>928</v>
      </c>
      <c r="G352" t="s">
        <v>929</v>
      </c>
      <c r="H352">
        <v>1</v>
      </c>
      <c r="I352" t="s">
        <v>930</v>
      </c>
      <c r="J352" t="s">
        <v>943</v>
      </c>
      <c r="K352" t="s">
        <v>879</v>
      </c>
    </row>
    <row r="353" spans="1:11" x14ac:dyDescent="0.35">
      <c r="A353" t="s">
        <v>120</v>
      </c>
      <c r="B353" s="1">
        <v>43478</v>
      </c>
      <c r="C353" t="s">
        <v>121</v>
      </c>
      <c r="D353" t="s">
        <v>7</v>
      </c>
      <c r="E353" t="s">
        <v>8</v>
      </c>
      <c r="F353" t="s">
        <v>928</v>
      </c>
      <c r="G353" t="s">
        <v>929</v>
      </c>
      <c r="H353">
        <v>1</v>
      </c>
      <c r="I353" t="s">
        <v>930</v>
      </c>
      <c r="J353" t="s">
        <v>943</v>
      </c>
      <c r="K353" t="s">
        <v>879</v>
      </c>
    </row>
    <row r="354" spans="1:11" x14ac:dyDescent="0.35">
      <c r="A354" t="s">
        <v>742</v>
      </c>
      <c r="B354" s="1">
        <v>43478</v>
      </c>
      <c r="C354" t="s">
        <v>743</v>
      </c>
      <c r="D354" t="s">
        <v>361</v>
      </c>
      <c r="E354" t="s">
        <v>362</v>
      </c>
      <c r="F354" t="s">
        <v>928</v>
      </c>
      <c r="G354" t="s">
        <v>929</v>
      </c>
      <c r="H354">
        <v>1</v>
      </c>
      <c r="I354" t="s">
        <v>930</v>
      </c>
      <c r="J354" t="s">
        <v>943</v>
      </c>
      <c r="K354" t="s">
        <v>879</v>
      </c>
    </row>
    <row r="355" spans="1:11" x14ac:dyDescent="0.35">
      <c r="A355" t="s">
        <v>122</v>
      </c>
      <c r="B355" s="1">
        <v>43478</v>
      </c>
      <c r="C355" t="s">
        <v>123</v>
      </c>
      <c r="D355" t="s">
        <v>7</v>
      </c>
      <c r="E355" t="s">
        <v>8</v>
      </c>
      <c r="F355" t="s">
        <v>928</v>
      </c>
      <c r="G355" t="s">
        <v>929</v>
      </c>
      <c r="H355">
        <v>1</v>
      </c>
      <c r="I355" t="s">
        <v>930</v>
      </c>
      <c r="J355" t="s">
        <v>943</v>
      </c>
      <c r="K355" t="s">
        <v>879</v>
      </c>
    </row>
    <row r="356" spans="1:11" x14ac:dyDescent="0.35">
      <c r="A356" t="s">
        <v>744</v>
      </c>
      <c r="B356" s="1">
        <v>43479</v>
      </c>
      <c r="C356" t="s">
        <v>487</v>
      </c>
      <c r="D356" t="s">
        <v>410</v>
      </c>
      <c r="E356" t="s">
        <v>411</v>
      </c>
      <c r="F356" t="s">
        <v>928</v>
      </c>
      <c r="G356" t="s">
        <v>929</v>
      </c>
      <c r="H356">
        <v>1</v>
      </c>
      <c r="I356" t="s">
        <v>930</v>
      </c>
      <c r="J356" t="s">
        <v>943</v>
      </c>
      <c r="K356" t="s">
        <v>879</v>
      </c>
    </row>
    <row r="357" spans="1:11" x14ac:dyDescent="0.35">
      <c r="A357" t="s">
        <v>745</v>
      </c>
      <c r="B357" s="1">
        <v>43479</v>
      </c>
      <c r="C357" t="s">
        <v>746</v>
      </c>
      <c r="D357" t="s">
        <v>353</v>
      </c>
      <c r="E357" t="s">
        <v>354</v>
      </c>
      <c r="F357" t="s">
        <v>928</v>
      </c>
      <c r="G357" t="s">
        <v>929</v>
      </c>
      <c r="H357">
        <v>1</v>
      </c>
      <c r="I357" t="s">
        <v>930</v>
      </c>
      <c r="J357" t="s">
        <v>943</v>
      </c>
      <c r="K357" t="s">
        <v>879</v>
      </c>
    </row>
    <row r="358" spans="1:11" x14ac:dyDescent="0.35">
      <c r="A358" t="s">
        <v>218</v>
      </c>
      <c r="B358" s="1">
        <v>43481</v>
      </c>
      <c r="C358" t="s">
        <v>219</v>
      </c>
      <c r="D358" t="s">
        <v>193</v>
      </c>
      <c r="E358" t="s">
        <v>194</v>
      </c>
      <c r="F358" t="s">
        <v>928</v>
      </c>
      <c r="G358" t="s">
        <v>929</v>
      </c>
      <c r="H358">
        <v>1</v>
      </c>
      <c r="I358" t="s">
        <v>930</v>
      </c>
      <c r="J358" t="s">
        <v>943</v>
      </c>
      <c r="K358" t="s">
        <v>879</v>
      </c>
    </row>
    <row r="359" spans="1:11" x14ac:dyDescent="0.35">
      <c r="A359" t="s">
        <v>336</v>
      </c>
      <c r="B359" s="1">
        <v>43482</v>
      </c>
      <c r="C359" t="s">
        <v>156</v>
      </c>
      <c r="D359" t="s">
        <v>193</v>
      </c>
      <c r="E359" t="s">
        <v>230</v>
      </c>
      <c r="F359" t="s">
        <v>928</v>
      </c>
      <c r="G359" t="s">
        <v>929</v>
      </c>
      <c r="H359">
        <v>1</v>
      </c>
      <c r="I359" t="s">
        <v>930</v>
      </c>
      <c r="J359" t="s">
        <v>943</v>
      </c>
      <c r="K359" t="s">
        <v>879</v>
      </c>
    </row>
    <row r="360" spans="1:11" x14ac:dyDescent="0.35">
      <c r="A360" t="s">
        <v>124</v>
      </c>
      <c r="B360" s="1">
        <v>43483</v>
      </c>
      <c r="C360" t="s">
        <v>125</v>
      </c>
      <c r="D360" t="s">
        <v>7</v>
      </c>
      <c r="E360" t="s">
        <v>8</v>
      </c>
      <c r="F360" t="s">
        <v>928</v>
      </c>
      <c r="G360" t="s">
        <v>929</v>
      </c>
      <c r="H360">
        <v>1</v>
      </c>
      <c r="I360" t="s">
        <v>930</v>
      </c>
      <c r="J360" t="s">
        <v>943</v>
      </c>
      <c r="K360" t="s">
        <v>879</v>
      </c>
    </row>
    <row r="361" spans="1:11" x14ac:dyDescent="0.35">
      <c r="A361" t="s">
        <v>747</v>
      </c>
      <c r="B361" s="1">
        <v>43483</v>
      </c>
      <c r="C361" t="s">
        <v>748</v>
      </c>
      <c r="D361" t="s">
        <v>361</v>
      </c>
      <c r="E361" t="s">
        <v>362</v>
      </c>
      <c r="F361" t="s">
        <v>928</v>
      </c>
      <c r="G361" t="s">
        <v>929</v>
      </c>
      <c r="H361">
        <v>1</v>
      </c>
      <c r="I361" t="s">
        <v>930</v>
      </c>
      <c r="J361" t="s">
        <v>943</v>
      </c>
      <c r="K361" t="s">
        <v>879</v>
      </c>
    </row>
    <row r="362" spans="1:11" x14ac:dyDescent="0.35">
      <c r="A362" t="s">
        <v>126</v>
      </c>
      <c r="B362" s="1">
        <v>43483</v>
      </c>
      <c r="C362" t="s">
        <v>127</v>
      </c>
      <c r="D362" t="s">
        <v>7</v>
      </c>
      <c r="E362" t="s">
        <v>8</v>
      </c>
      <c r="F362" t="s">
        <v>928</v>
      </c>
      <c r="G362" t="s">
        <v>929</v>
      </c>
      <c r="H362">
        <v>1</v>
      </c>
      <c r="I362" t="s">
        <v>930</v>
      </c>
      <c r="J362" t="s">
        <v>943</v>
      </c>
      <c r="K362" t="s">
        <v>879</v>
      </c>
    </row>
    <row r="363" spans="1:11" x14ac:dyDescent="0.35">
      <c r="A363" t="s">
        <v>749</v>
      </c>
      <c r="B363" s="1">
        <v>43483</v>
      </c>
      <c r="C363" t="s">
        <v>156</v>
      </c>
      <c r="D363" t="s">
        <v>410</v>
      </c>
      <c r="E363" t="s">
        <v>411</v>
      </c>
      <c r="F363" t="s">
        <v>928</v>
      </c>
      <c r="G363" t="s">
        <v>929</v>
      </c>
      <c r="H363">
        <v>1</v>
      </c>
      <c r="I363" t="s">
        <v>930</v>
      </c>
      <c r="J363" t="s">
        <v>943</v>
      </c>
      <c r="K363" t="s">
        <v>947</v>
      </c>
    </row>
    <row r="364" spans="1:11" x14ac:dyDescent="0.35">
      <c r="A364" t="s">
        <v>750</v>
      </c>
      <c r="B364" s="1">
        <v>43483</v>
      </c>
      <c r="C364" t="s">
        <v>279</v>
      </c>
      <c r="D364" t="s">
        <v>353</v>
      </c>
      <c r="E364" t="s">
        <v>354</v>
      </c>
      <c r="F364" t="s">
        <v>928</v>
      </c>
      <c r="G364" t="s">
        <v>929</v>
      </c>
      <c r="H364">
        <v>1</v>
      </c>
      <c r="I364" t="s">
        <v>930</v>
      </c>
      <c r="J364" t="s">
        <v>943</v>
      </c>
      <c r="K364" t="s">
        <v>879</v>
      </c>
    </row>
    <row r="365" spans="1:11" x14ac:dyDescent="0.35">
      <c r="A365" t="s">
        <v>220</v>
      </c>
      <c r="B365" s="1">
        <v>43484</v>
      </c>
      <c r="C365" t="s">
        <v>221</v>
      </c>
      <c r="D365" t="s">
        <v>193</v>
      </c>
      <c r="E365" t="s">
        <v>194</v>
      </c>
      <c r="F365" t="s">
        <v>928</v>
      </c>
      <c r="G365" t="s">
        <v>929</v>
      </c>
      <c r="H365">
        <v>1</v>
      </c>
      <c r="I365" t="s">
        <v>930</v>
      </c>
      <c r="J365" t="s">
        <v>943</v>
      </c>
      <c r="K365" t="s">
        <v>947</v>
      </c>
    </row>
    <row r="366" spans="1:11" x14ac:dyDescent="0.35">
      <c r="A366" t="s">
        <v>337</v>
      </c>
      <c r="B366" s="1">
        <v>43484</v>
      </c>
      <c r="C366" t="s">
        <v>338</v>
      </c>
      <c r="D366" t="s">
        <v>193</v>
      </c>
      <c r="E366" t="s">
        <v>230</v>
      </c>
      <c r="F366" t="s">
        <v>928</v>
      </c>
      <c r="G366" t="s">
        <v>929</v>
      </c>
      <c r="H366">
        <v>1</v>
      </c>
      <c r="I366" t="s">
        <v>930</v>
      </c>
      <c r="J366" t="s">
        <v>943</v>
      </c>
      <c r="K366" t="s">
        <v>879</v>
      </c>
    </row>
    <row r="367" spans="1:11" x14ac:dyDescent="0.35">
      <c r="A367" t="s">
        <v>128</v>
      </c>
      <c r="B367" s="1">
        <v>43485</v>
      </c>
      <c r="C367" t="s">
        <v>129</v>
      </c>
      <c r="D367" t="s">
        <v>7</v>
      </c>
      <c r="E367" t="s">
        <v>8</v>
      </c>
      <c r="F367" t="s">
        <v>928</v>
      </c>
      <c r="G367" t="s">
        <v>929</v>
      </c>
      <c r="H367">
        <v>1</v>
      </c>
      <c r="I367" t="s">
        <v>930</v>
      </c>
      <c r="J367" t="s">
        <v>943</v>
      </c>
      <c r="K367" t="s">
        <v>879</v>
      </c>
    </row>
    <row r="368" spans="1:11" x14ac:dyDescent="0.35">
      <c r="A368" t="s">
        <v>751</v>
      </c>
      <c r="B368" s="1">
        <v>43486</v>
      </c>
      <c r="C368" t="s">
        <v>752</v>
      </c>
      <c r="D368" t="s">
        <v>361</v>
      </c>
      <c r="E368" t="s">
        <v>362</v>
      </c>
      <c r="F368" t="s">
        <v>928</v>
      </c>
      <c r="G368" t="s">
        <v>929</v>
      </c>
      <c r="H368">
        <v>1</v>
      </c>
      <c r="I368" t="s">
        <v>930</v>
      </c>
      <c r="J368" t="s">
        <v>943</v>
      </c>
      <c r="K368" t="s">
        <v>879</v>
      </c>
    </row>
    <row r="369" spans="1:11" x14ac:dyDescent="0.35">
      <c r="A369" t="s">
        <v>753</v>
      </c>
      <c r="B369" s="1">
        <v>43486</v>
      </c>
      <c r="C369" t="s">
        <v>219</v>
      </c>
      <c r="D369" t="s">
        <v>357</v>
      </c>
      <c r="E369" t="s">
        <v>657</v>
      </c>
      <c r="F369" t="s">
        <v>928</v>
      </c>
      <c r="G369" t="s">
        <v>929</v>
      </c>
      <c r="H369">
        <v>1</v>
      </c>
      <c r="I369" t="s">
        <v>930</v>
      </c>
      <c r="J369" t="s">
        <v>943</v>
      </c>
      <c r="K369" t="s">
        <v>879</v>
      </c>
    </row>
    <row r="370" spans="1:11" x14ac:dyDescent="0.35">
      <c r="A370" t="s">
        <v>754</v>
      </c>
      <c r="B370" s="1">
        <v>43486</v>
      </c>
      <c r="C370" t="s">
        <v>646</v>
      </c>
      <c r="D370" t="s">
        <v>377</v>
      </c>
      <c r="E370" t="s">
        <v>660</v>
      </c>
      <c r="F370" t="s">
        <v>928</v>
      </c>
      <c r="G370" t="s">
        <v>929</v>
      </c>
      <c r="H370">
        <v>1</v>
      </c>
      <c r="I370" t="s">
        <v>930</v>
      </c>
      <c r="J370" t="s">
        <v>943</v>
      </c>
      <c r="K370" t="s">
        <v>879</v>
      </c>
    </row>
    <row r="371" spans="1:11" x14ac:dyDescent="0.35">
      <c r="A371" t="s">
        <v>755</v>
      </c>
      <c r="B371" s="1">
        <v>43486</v>
      </c>
      <c r="C371" t="s">
        <v>756</v>
      </c>
      <c r="D371" t="s">
        <v>388</v>
      </c>
      <c r="E371" t="s">
        <v>663</v>
      </c>
      <c r="F371" t="s">
        <v>928</v>
      </c>
      <c r="G371" t="s">
        <v>929</v>
      </c>
      <c r="H371">
        <v>1</v>
      </c>
      <c r="I371" t="s">
        <v>930</v>
      </c>
      <c r="J371" t="s">
        <v>943</v>
      </c>
      <c r="K371" t="s">
        <v>879</v>
      </c>
    </row>
    <row r="372" spans="1:11" x14ac:dyDescent="0.35">
      <c r="A372" t="s">
        <v>757</v>
      </c>
      <c r="B372" s="1">
        <v>43486</v>
      </c>
      <c r="C372" t="s">
        <v>758</v>
      </c>
      <c r="D372" t="s">
        <v>353</v>
      </c>
      <c r="E372" t="s">
        <v>655</v>
      </c>
      <c r="F372" t="s">
        <v>928</v>
      </c>
      <c r="G372" t="s">
        <v>929</v>
      </c>
      <c r="H372">
        <v>1</v>
      </c>
      <c r="I372" t="s">
        <v>930</v>
      </c>
      <c r="J372" t="s">
        <v>943</v>
      </c>
      <c r="K372" t="s">
        <v>879</v>
      </c>
    </row>
    <row r="373" spans="1:11" x14ac:dyDescent="0.35">
      <c r="A373" t="s">
        <v>339</v>
      </c>
      <c r="B373" s="1">
        <v>43487</v>
      </c>
      <c r="C373" t="s">
        <v>340</v>
      </c>
      <c r="D373" t="s">
        <v>193</v>
      </c>
      <c r="E373" t="s">
        <v>230</v>
      </c>
      <c r="F373" t="s">
        <v>928</v>
      </c>
      <c r="G373" t="s">
        <v>929</v>
      </c>
      <c r="H373">
        <v>1</v>
      </c>
      <c r="I373" t="s">
        <v>930</v>
      </c>
      <c r="J373" t="s">
        <v>943</v>
      </c>
      <c r="K373" t="s">
        <v>879</v>
      </c>
    </row>
    <row r="374" spans="1:11" x14ac:dyDescent="0.35">
      <c r="A374" t="s">
        <v>130</v>
      </c>
      <c r="B374" s="1">
        <v>43487</v>
      </c>
      <c r="C374" t="s">
        <v>131</v>
      </c>
      <c r="D374" t="s">
        <v>7</v>
      </c>
      <c r="E374" t="s">
        <v>8</v>
      </c>
      <c r="F374" t="s">
        <v>928</v>
      </c>
      <c r="G374" t="s">
        <v>929</v>
      </c>
      <c r="H374">
        <v>1</v>
      </c>
      <c r="I374" t="s">
        <v>930</v>
      </c>
      <c r="J374" t="s">
        <v>943</v>
      </c>
      <c r="K374" t="s">
        <v>879</v>
      </c>
    </row>
    <row r="375" spans="1:11" x14ac:dyDescent="0.35">
      <c r="A375" t="s">
        <v>759</v>
      </c>
      <c r="B375" s="1">
        <v>43488</v>
      </c>
      <c r="C375" t="s">
        <v>760</v>
      </c>
      <c r="D375" t="s">
        <v>357</v>
      </c>
      <c r="E375" t="s">
        <v>657</v>
      </c>
      <c r="F375" t="s">
        <v>928</v>
      </c>
      <c r="G375" t="s">
        <v>929</v>
      </c>
      <c r="H375">
        <v>1</v>
      </c>
      <c r="I375" t="s">
        <v>930</v>
      </c>
      <c r="J375" t="s">
        <v>943</v>
      </c>
      <c r="K375" t="s">
        <v>879</v>
      </c>
    </row>
    <row r="376" spans="1:11" x14ac:dyDescent="0.35">
      <c r="A376" t="s">
        <v>761</v>
      </c>
      <c r="B376" s="1">
        <v>43489</v>
      </c>
      <c r="C376" t="s">
        <v>762</v>
      </c>
      <c r="D376" t="s">
        <v>377</v>
      </c>
      <c r="E376" t="s">
        <v>660</v>
      </c>
      <c r="F376" t="s">
        <v>928</v>
      </c>
      <c r="G376" t="s">
        <v>929</v>
      </c>
      <c r="H376">
        <v>1</v>
      </c>
      <c r="I376" t="s">
        <v>930</v>
      </c>
      <c r="J376" t="s">
        <v>943</v>
      </c>
      <c r="K376" t="s">
        <v>879</v>
      </c>
    </row>
    <row r="377" spans="1:11" x14ac:dyDescent="0.35">
      <c r="A377" t="s">
        <v>763</v>
      </c>
      <c r="B377" s="1">
        <v>43490</v>
      </c>
      <c r="C377" t="s">
        <v>764</v>
      </c>
      <c r="D377" t="s">
        <v>357</v>
      </c>
      <c r="E377" t="s">
        <v>657</v>
      </c>
      <c r="F377" t="s">
        <v>928</v>
      </c>
      <c r="G377" t="s">
        <v>929</v>
      </c>
      <c r="H377">
        <v>1</v>
      </c>
      <c r="I377" t="s">
        <v>930</v>
      </c>
      <c r="J377" t="s">
        <v>943</v>
      </c>
      <c r="K377" t="s">
        <v>879</v>
      </c>
    </row>
    <row r="378" spans="1:11" x14ac:dyDescent="0.35">
      <c r="A378" t="s">
        <v>765</v>
      </c>
      <c r="B378" s="1">
        <v>43490</v>
      </c>
      <c r="C378" t="s">
        <v>123</v>
      </c>
      <c r="D378" t="s">
        <v>377</v>
      </c>
      <c r="E378" t="s">
        <v>660</v>
      </c>
      <c r="F378" t="s">
        <v>928</v>
      </c>
      <c r="G378" t="s">
        <v>929</v>
      </c>
      <c r="H378">
        <v>1</v>
      </c>
      <c r="I378" t="s">
        <v>930</v>
      </c>
      <c r="J378" t="s">
        <v>943</v>
      </c>
      <c r="K378" t="s">
        <v>879</v>
      </c>
    </row>
    <row r="379" spans="1:11" x14ac:dyDescent="0.35">
      <c r="A379" t="s">
        <v>766</v>
      </c>
      <c r="B379" s="1">
        <v>43490</v>
      </c>
      <c r="C379" t="s">
        <v>767</v>
      </c>
      <c r="D379" t="s">
        <v>388</v>
      </c>
      <c r="E379" t="s">
        <v>663</v>
      </c>
      <c r="F379" t="s">
        <v>928</v>
      </c>
      <c r="G379" t="s">
        <v>929</v>
      </c>
      <c r="H379">
        <v>1</v>
      </c>
      <c r="I379" t="s">
        <v>930</v>
      </c>
      <c r="J379" t="s">
        <v>943</v>
      </c>
      <c r="K379" t="s">
        <v>879</v>
      </c>
    </row>
    <row r="380" spans="1:11" x14ac:dyDescent="0.35">
      <c r="A380" t="s">
        <v>768</v>
      </c>
      <c r="B380" s="1">
        <v>43492</v>
      </c>
      <c r="C380" t="s">
        <v>20</v>
      </c>
      <c r="D380" t="s">
        <v>353</v>
      </c>
      <c r="E380" t="s">
        <v>655</v>
      </c>
      <c r="F380" t="s">
        <v>928</v>
      </c>
      <c r="G380" t="s">
        <v>929</v>
      </c>
      <c r="H380">
        <v>1</v>
      </c>
      <c r="I380" t="s">
        <v>930</v>
      </c>
      <c r="J380" t="s">
        <v>943</v>
      </c>
      <c r="K380" t="s">
        <v>879</v>
      </c>
    </row>
    <row r="381" spans="1:11" x14ac:dyDescent="0.35">
      <c r="A381" t="s">
        <v>341</v>
      </c>
      <c r="B381" s="1">
        <v>43492</v>
      </c>
      <c r="C381" t="s">
        <v>342</v>
      </c>
      <c r="D381" t="s">
        <v>193</v>
      </c>
      <c r="E381" t="s">
        <v>230</v>
      </c>
      <c r="F381" t="s">
        <v>928</v>
      </c>
      <c r="G381" t="s">
        <v>929</v>
      </c>
      <c r="H381">
        <v>1</v>
      </c>
      <c r="I381" t="s">
        <v>930</v>
      </c>
      <c r="J381" t="s">
        <v>943</v>
      </c>
      <c r="K381" t="s">
        <v>947</v>
      </c>
    </row>
    <row r="382" spans="1:11" x14ac:dyDescent="0.35">
      <c r="A382" t="s">
        <v>132</v>
      </c>
      <c r="B382" s="1">
        <v>43492</v>
      </c>
      <c r="C382" t="s">
        <v>66</v>
      </c>
      <c r="D382" t="s">
        <v>7</v>
      </c>
      <c r="E382" t="s">
        <v>8</v>
      </c>
      <c r="F382" t="s">
        <v>928</v>
      </c>
      <c r="G382" t="s">
        <v>929</v>
      </c>
      <c r="H382">
        <v>1</v>
      </c>
      <c r="I382" t="s">
        <v>930</v>
      </c>
      <c r="J382" t="s">
        <v>943</v>
      </c>
      <c r="K382" t="s">
        <v>879</v>
      </c>
    </row>
    <row r="383" spans="1:11" x14ac:dyDescent="0.35">
      <c r="A383" t="s">
        <v>769</v>
      </c>
      <c r="B383" s="1">
        <v>43492</v>
      </c>
      <c r="C383" t="s">
        <v>36</v>
      </c>
      <c r="D383" t="s">
        <v>357</v>
      </c>
      <c r="E383" t="s">
        <v>657</v>
      </c>
      <c r="F383" t="s">
        <v>928</v>
      </c>
      <c r="G383" t="s">
        <v>929</v>
      </c>
      <c r="H383">
        <v>1</v>
      </c>
      <c r="I383" t="s">
        <v>930</v>
      </c>
      <c r="J383" t="s">
        <v>943</v>
      </c>
      <c r="K383" t="s">
        <v>879</v>
      </c>
    </row>
    <row r="384" spans="1:11" x14ac:dyDescent="0.35">
      <c r="A384" t="s">
        <v>770</v>
      </c>
      <c r="B384" s="1">
        <v>43493</v>
      </c>
      <c r="C384" t="s">
        <v>771</v>
      </c>
      <c r="D384" t="s">
        <v>174</v>
      </c>
      <c r="E384" t="s">
        <v>174</v>
      </c>
      <c r="F384" t="s">
        <v>928</v>
      </c>
      <c r="G384" t="s">
        <v>929</v>
      </c>
      <c r="H384">
        <v>1</v>
      </c>
      <c r="I384" t="s">
        <v>930</v>
      </c>
      <c r="J384" t="s">
        <v>943</v>
      </c>
      <c r="K384" t="s">
        <v>879</v>
      </c>
    </row>
    <row r="385" spans="1:11" x14ac:dyDescent="0.35">
      <c r="A385" t="s">
        <v>772</v>
      </c>
      <c r="B385" s="1">
        <v>43494</v>
      </c>
      <c r="C385" t="s">
        <v>773</v>
      </c>
      <c r="D385" t="s">
        <v>174</v>
      </c>
      <c r="E385" t="s">
        <v>174</v>
      </c>
      <c r="F385" t="s">
        <v>928</v>
      </c>
      <c r="G385" t="s">
        <v>929</v>
      </c>
      <c r="H385">
        <v>1</v>
      </c>
      <c r="I385" t="s">
        <v>930</v>
      </c>
      <c r="J385" t="s">
        <v>943</v>
      </c>
      <c r="K385" t="s">
        <v>879</v>
      </c>
    </row>
    <row r="386" spans="1:11" x14ac:dyDescent="0.35">
      <c r="A386" t="s">
        <v>774</v>
      </c>
      <c r="B386" s="1">
        <v>43495</v>
      </c>
      <c r="C386" t="s">
        <v>775</v>
      </c>
      <c r="D386" t="s">
        <v>174</v>
      </c>
      <c r="E386" t="s">
        <v>174</v>
      </c>
      <c r="F386" t="s">
        <v>928</v>
      </c>
      <c r="G386" t="s">
        <v>929</v>
      </c>
      <c r="H386">
        <v>1</v>
      </c>
      <c r="I386" t="s">
        <v>930</v>
      </c>
      <c r="J386" t="s">
        <v>943</v>
      </c>
      <c r="K386" t="s">
        <v>947</v>
      </c>
    </row>
    <row r="387" spans="1:11" x14ac:dyDescent="0.35">
      <c r="A387" t="s">
        <v>776</v>
      </c>
      <c r="B387" s="1">
        <v>43495</v>
      </c>
      <c r="C387" t="s">
        <v>702</v>
      </c>
      <c r="D387" t="s">
        <v>174</v>
      </c>
      <c r="E387" t="s">
        <v>174</v>
      </c>
      <c r="F387" t="s">
        <v>928</v>
      </c>
      <c r="G387" t="s">
        <v>929</v>
      </c>
      <c r="H387">
        <v>1</v>
      </c>
      <c r="I387" t="s">
        <v>930</v>
      </c>
      <c r="J387" t="s">
        <v>943</v>
      </c>
      <c r="K387" t="s">
        <v>879</v>
      </c>
    </row>
    <row r="388" spans="1:11" x14ac:dyDescent="0.35">
      <c r="A388" t="s">
        <v>133</v>
      </c>
      <c r="B388" s="1">
        <v>43496</v>
      </c>
      <c r="C388" t="s">
        <v>134</v>
      </c>
      <c r="D388" t="s">
        <v>7</v>
      </c>
      <c r="E388" t="s">
        <v>8</v>
      </c>
      <c r="F388" t="s">
        <v>928</v>
      </c>
      <c r="G388" t="s">
        <v>929</v>
      </c>
      <c r="H388">
        <v>1</v>
      </c>
      <c r="I388" t="s">
        <v>930</v>
      </c>
      <c r="J388" t="s">
        <v>943</v>
      </c>
      <c r="K388" t="s">
        <v>879</v>
      </c>
    </row>
    <row r="389" spans="1:11" x14ac:dyDescent="0.35">
      <c r="A389" t="s">
        <v>777</v>
      </c>
      <c r="B389" s="1">
        <v>43496</v>
      </c>
      <c r="C389" t="s">
        <v>36</v>
      </c>
      <c r="D389" t="s">
        <v>357</v>
      </c>
      <c r="E389" t="s">
        <v>657</v>
      </c>
      <c r="F389" t="s">
        <v>928</v>
      </c>
      <c r="G389" t="s">
        <v>929</v>
      </c>
      <c r="H389">
        <v>1</v>
      </c>
      <c r="I389" t="s">
        <v>930</v>
      </c>
      <c r="J389" t="s">
        <v>943</v>
      </c>
      <c r="K389" t="s">
        <v>879</v>
      </c>
    </row>
    <row r="390" spans="1:11" x14ac:dyDescent="0.35">
      <c r="A390" t="s">
        <v>778</v>
      </c>
      <c r="B390" s="1">
        <v>43496</v>
      </c>
      <c r="C390" t="s">
        <v>779</v>
      </c>
      <c r="D390" t="s">
        <v>174</v>
      </c>
      <c r="E390" t="s">
        <v>174</v>
      </c>
      <c r="F390" t="s">
        <v>928</v>
      </c>
      <c r="G390" t="s">
        <v>929</v>
      </c>
      <c r="H390">
        <v>1</v>
      </c>
      <c r="I390" t="s">
        <v>930</v>
      </c>
      <c r="J390" t="s">
        <v>943</v>
      </c>
      <c r="K390" t="s">
        <v>879</v>
      </c>
    </row>
    <row r="391" spans="1:11" x14ac:dyDescent="0.35">
      <c r="A391" t="s">
        <v>780</v>
      </c>
      <c r="B391" s="1">
        <v>43496</v>
      </c>
      <c r="C391" t="s">
        <v>781</v>
      </c>
      <c r="D391" t="s">
        <v>174</v>
      </c>
      <c r="E391" t="s">
        <v>174</v>
      </c>
      <c r="F391" t="s">
        <v>928</v>
      </c>
      <c r="G391" t="s">
        <v>929</v>
      </c>
      <c r="H391">
        <v>1</v>
      </c>
      <c r="I391" t="s">
        <v>930</v>
      </c>
      <c r="J391" t="s">
        <v>943</v>
      </c>
      <c r="K391" t="s">
        <v>879</v>
      </c>
    </row>
    <row r="392" spans="1:11" x14ac:dyDescent="0.35">
      <c r="A392" t="s">
        <v>782</v>
      </c>
      <c r="B392" s="1">
        <v>43497</v>
      </c>
      <c r="C392" t="s">
        <v>259</v>
      </c>
      <c r="D392" t="s">
        <v>174</v>
      </c>
      <c r="E392" t="s">
        <v>174</v>
      </c>
      <c r="F392" t="s">
        <v>928</v>
      </c>
      <c r="G392" t="s">
        <v>929</v>
      </c>
      <c r="H392">
        <v>2</v>
      </c>
      <c r="I392" t="s">
        <v>931</v>
      </c>
      <c r="J392" t="s">
        <v>944</v>
      </c>
      <c r="K392" t="s">
        <v>879</v>
      </c>
    </row>
    <row r="393" spans="1:11" x14ac:dyDescent="0.35">
      <c r="A393" t="s">
        <v>783</v>
      </c>
      <c r="B393" s="1">
        <v>43498</v>
      </c>
      <c r="C393" t="s">
        <v>784</v>
      </c>
      <c r="D393" t="s">
        <v>174</v>
      </c>
      <c r="E393" t="s">
        <v>174</v>
      </c>
      <c r="F393" t="s">
        <v>928</v>
      </c>
      <c r="G393" t="s">
        <v>929</v>
      </c>
      <c r="H393">
        <v>2</v>
      </c>
      <c r="I393" t="s">
        <v>931</v>
      </c>
      <c r="J393" t="s">
        <v>944</v>
      </c>
      <c r="K393" t="s">
        <v>879</v>
      </c>
    </row>
    <row r="394" spans="1:11" x14ac:dyDescent="0.35">
      <c r="A394" t="s">
        <v>135</v>
      </c>
      <c r="B394" s="1">
        <v>43499</v>
      </c>
      <c r="C394" t="s">
        <v>136</v>
      </c>
      <c r="D394" t="s">
        <v>7</v>
      </c>
      <c r="E394" t="s">
        <v>8</v>
      </c>
      <c r="F394" t="s">
        <v>928</v>
      </c>
      <c r="G394" t="s">
        <v>929</v>
      </c>
      <c r="H394">
        <v>2</v>
      </c>
      <c r="I394" t="s">
        <v>931</v>
      </c>
      <c r="J394" t="s">
        <v>944</v>
      </c>
      <c r="K394" t="s">
        <v>879</v>
      </c>
    </row>
    <row r="395" spans="1:11" x14ac:dyDescent="0.35">
      <c r="A395" t="s">
        <v>785</v>
      </c>
      <c r="B395" s="1">
        <v>43499</v>
      </c>
      <c r="C395" t="s">
        <v>637</v>
      </c>
      <c r="D395" t="s">
        <v>357</v>
      </c>
      <c r="E395" t="s">
        <v>657</v>
      </c>
      <c r="F395" t="s">
        <v>928</v>
      </c>
      <c r="G395" t="s">
        <v>929</v>
      </c>
      <c r="H395">
        <v>2</v>
      </c>
      <c r="I395" t="s">
        <v>931</v>
      </c>
      <c r="J395" t="s">
        <v>944</v>
      </c>
      <c r="K395" t="s">
        <v>879</v>
      </c>
    </row>
    <row r="396" spans="1:11" x14ac:dyDescent="0.35">
      <c r="A396" t="s">
        <v>786</v>
      </c>
      <c r="B396" s="1">
        <v>43499</v>
      </c>
      <c r="C396" t="s">
        <v>787</v>
      </c>
      <c r="D396" t="s">
        <v>174</v>
      </c>
      <c r="E396" t="s">
        <v>174</v>
      </c>
      <c r="F396" t="s">
        <v>928</v>
      </c>
      <c r="G396" t="s">
        <v>929</v>
      </c>
      <c r="H396">
        <v>2</v>
      </c>
      <c r="I396" t="s">
        <v>931</v>
      </c>
      <c r="J396" t="s">
        <v>944</v>
      </c>
      <c r="K396" t="s">
        <v>879</v>
      </c>
    </row>
    <row r="397" spans="1:11" x14ac:dyDescent="0.35">
      <c r="A397" t="s">
        <v>788</v>
      </c>
      <c r="B397" s="1">
        <v>43499</v>
      </c>
      <c r="C397" t="s">
        <v>789</v>
      </c>
      <c r="D397" t="s">
        <v>174</v>
      </c>
      <c r="E397" t="s">
        <v>174</v>
      </c>
      <c r="F397" t="s">
        <v>928</v>
      </c>
      <c r="G397" t="s">
        <v>929</v>
      </c>
      <c r="H397">
        <v>2</v>
      </c>
      <c r="I397" t="s">
        <v>931</v>
      </c>
      <c r="J397" t="s">
        <v>944</v>
      </c>
      <c r="K397" t="s">
        <v>947</v>
      </c>
    </row>
    <row r="398" spans="1:11" x14ac:dyDescent="0.35">
      <c r="A398" t="s">
        <v>790</v>
      </c>
      <c r="B398" s="1">
        <v>43500</v>
      </c>
      <c r="C398" t="s">
        <v>791</v>
      </c>
      <c r="D398" t="s">
        <v>174</v>
      </c>
      <c r="E398" t="s">
        <v>174</v>
      </c>
      <c r="F398" t="s">
        <v>928</v>
      </c>
      <c r="G398" t="s">
        <v>929</v>
      </c>
      <c r="H398">
        <v>2</v>
      </c>
      <c r="I398" t="s">
        <v>931</v>
      </c>
      <c r="J398" t="s">
        <v>944</v>
      </c>
      <c r="K398" t="s">
        <v>879</v>
      </c>
    </row>
    <row r="399" spans="1:11" x14ac:dyDescent="0.35">
      <c r="A399" t="s">
        <v>792</v>
      </c>
      <c r="B399" s="1">
        <v>43500</v>
      </c>
      <c r="C399" t="s">
        <v>793</v>
      </c>
      <c r="D399" t="s">
        <v>174</v>
      </c>
      <c r="E399" t="s">
        <v>174</v>
      </c>
      <c r="F399" t="s">
        <v>928</v>
      </c>
      <c r="G399" t="s">
        <v>929</v>
      </c>
      <c r="H399">
        <v>2</v>
      </c>
      <c r="I399" t="s">
        <v>931</v>
      </c>
      <c r="J399" t="s">
        <v>944</v>
      </c>
      <c r="K399" t="s">
        <v>879</v>
      </c>
    </row>
    <row r="400" spans="1:11" x14ac:dyDescent="0.35">
      <c r="A400" t="s">
        <v>137</v>
      </c>
      <c r="B400" s="1">
        <v>43500</v>
      </c>
      <c r="C400" t="s">
        <v>138</v>
      </c>
      <c r="D400" t="s">
        <v>7</v>
      </c>
      <c r="E400" t="s">
        <v>8</v>
      </c>
      <c r="F400" t="s">
        <v>928</v>
      </c>
      <c r="G400" t="s">
        <v>929</v>
      </c>
      <c r="H400">
        <v>2</v>
      </c>
      <c r="I400" t="s">
        <v>931</v>
      </c>
      <c r="J400" t="s">
        <v>944</v>
      </c>
      <c r="K400" t="s">
        <v>879</v>
      </c>
    </row>
    <row r="401" spans="1:11" x14ac:dyDescent="0.35">
      <c r="A401" t="s">
        <v>794</v>
      </c>
      <c r="B401" s="1">
        <v>43500</v>
      </c>
      <c r="C401" t="s">
        <v>795</v>
      </c>
      <c r="D401" t="s">
        <v>357</v>
      </c>
      <c r="E401" t="s">
        <v>657</v>
      </c>
      <c r="F401" t="s">
        <v>928</v>
      </c>
      <c r="G401" t="s">
        <v>929</v>
      </c>
      <c r="H401">
        <v>2</v>
      </c>
      <c r="I401" t="s">
        <v>931</v>
      </c>
      <c r="J401" t="s">
        <v>944</v>
      </c>
      <c r="K401" t="s">
        <v>947</v>
      </c>
    </row>
    <row r="402" spans="1:11" x14ac:dyDescent="0.35">
      <c r="A402" t="s">
        <v>796</v>
      </c>
      <c r="B402" s="1">
        <v>43501</v>
      </c>
      <c r="C402" t="s">
        <v>797</v>
      </c>
      <c r="D402" t="s">
        <v>174</v>
      </c>
      <c r="E402" t="s">
        <v>174</v>
      </c>
      <c r="F402" t="s">
        <v>928</v>
      </c>
      <c r="G402" t="s">
        <v>929</v>
      </c>
      <c r="H402">
        <v>2</v>
      </c>
      <c r="I402" t="s">
        <v>931</v>
      </c>
      <c r="J402" t="s">
        <v>944</v>
      </c>
      <c r="K402" t="s">
        <v>879</v>
      </c>
    </row>
    <row r="403" spans="1:11" x14ac:dyDescent="0.35">
      <c r="A403" t="s">
        <v>798</v>
      </c>
      <c r="B403" s="1">
        <v>43502</v>
      </c>
      <c r="C403" t="s">
        <v>48</v>
      </c>
      <c r="D403" t="s">
        <v>174</v>
      </c>
      <c r="E403" t="s">
        <v>174</v>
      </c>
      <c r="F403" t="s">
        <v>928</v>
      </c>
      <c r="G403" t="s">
        <v>929</v>
      </c>
      <c r="H403">
        <v>2</v>
      </c>
      <c r="I403" t="s">
        <v>931</v>
      </c>
      <c r="J403" t="s">
        <v>944</v>
      </c>
      <c r="K403" t="s">
        <v>879</v>
      </c>
    </row>
    <row r="404" spans="1:11" x14ac:dyDescent="0.35">
      <c r="A404" t="s">
        <v>799</v>
      </c>
      <c r="B404" s="1">
        <v>43503</v>
      </c>
      <c r="C404" t="s">
        <v>800</v>
      </c>
      <c r="D404" t="s">
        <v>174</v>
      </c>
      <c r="E404" t="s">
        <v>174</v>
      </c>
      <c r="F404" t="s">
        <v>928</v>
      </c>
      <c r="G404" t="s">
        <v>929</v>
      </c>
      <c r="H404">
        <v>2</v>
      </c>
      <c r="I404" t="s">
        <v>931</v>
      </c>
      <c r="J404" t="s">
        <v>944</v>
      </c>
      <c r="K404" t="s">
        <v>879</v>
      </c>
    </row>
    <row r="405" spans="1:11" x14ac:dyDescent="0.35">
      <c r="A405" t="s">
        <v>801</v>
      </c>
      <c r="B405" s="1">
        <v>43504</v>
      </c>
      <c r="C405" t="s">
        <v>163</v>
      </c>
      <c r="D405" t="s">
        <v>174</v>
      </c>
      <c r="E405" t="s">
        <v>174</v>
      </c>
      <c r="F405" t="s">
        <v>928</v>
      </c>
      <c r="G405" t="s">
        <v>929</v>
      </c>
      <c r="H405">
        <v>2</v>
      </c>
      <c r="I405" t="s">
        <v>931</v>
      </c>
      <c r="J405" t="s">
        <v>944</v>
      </c>
      <c r="K405" t="s">
        <v>879</v>
      </c>
    </row>
    <row r="406" spans="1:11" x14ac:dyDescent="0.35">
      <c r="A406" t="s">
        <v>183</v>
      </c>
      <c r="B406" s="1">
        <v>43504</v>
      </c>
      <c r="C406" t="s">
        <v>184</v>
      </c>
      <c r="D406" t="s">
        <v>7</v>
      </c>
      <c r="E406" t="s">
        <v>148</v>
      </c>
      <c r="F406" t="s">
        <v>928</v>
      </c>
      <c r="G406" t="s">
        <v>929</v>
      </c>
      <c r="H406">
        <v>2</v>
      </c>
      <c r="I406" t="s">
        <v>931</v>
      </c>
      <c r="J406" t="s">
        <v>944</v>
      </c>
      <c r="K406" t="s">
        <v>879</v>
      </c>
    </row>
    <row r="407" spans="1:11" x14ac:dyDescent="0.35">
      <c r="A407" t="s">
        <v>802</v>
      </c>
      <c r="B407" s="1">
        <v>43504</v>
      </c>
      <c r="C407" t="s">
        <v>803</v>
      </c>
      <c r="D407" t="s">
        <v>357</v>
      </c>
      <c r="E407" t="s">
        <v>358</v>
      </c>
      <c r="F407" t="s">
        <v>928</v>
      </c>
      <c r="G407" t="s">
        <v>929</v>
      </c>
      <c r="H407">
        <v>2</v>
      </c>
      <c r="I407" t="s">
        <v>931</v>
      </c>
      <c r="J407" t="s">
        <v>944</v>
      </c>
      <c r="K407" t="s">
        <v>879</v>
      </c>
    </row>
    <row r="408" spans="1:11" x14ac:dyDescent="0.35">
      <c r="A408" t="s">
        <v>804</v>
      </c>
      <c r="B408" s="1">
        <v>43504</v>
      </c>
      <c r="C408" t="s">
        <v>805</v>
      </c>
      <c r="D408" t="s">
        <v>361</v>
      </c>
      <c r="E408" t="s">
        <v>362</v>
      </c>
      <c r="F408" t="s">
        <v>928</v>
      </c>
      <c r="G408" t="s">
        <v>929</v>
      </c>
      <c r="H408">
        <v>2</v>
      </c>
      <c r="I408" t="s">
        <v>931</v>
      </c>
      <c r="J408" t="s">
        <v>944</v>
      </c>
      <c r="K408" t="s">
        <v>879</v>
      </c>
    </row>
    <row r="409" spans="1:11" x14ac:dyDescent="0.35">
      <c r="A409" t="s">
        <v>806</v>
      </c>
      <c r="B409" s="1">
        <v>43505</v>
      </c>
      <c r="C409" t="s">
        <v>807</v>
      </c>
      <c r="D409" t="s">
        <v>365</v>
      </c>
      <c r="E409" t="s">
        <v>366</v>
      </c>
      <c r="F409" t="s">
        <v>928</v>
      </c>
      <c r="G409" t="s">
        <v>929</v>
      </c>
      <c r="H409">
        <v>2</v>
      </c>
      <c r="I409" t="s">
        <v>931</v>
      </c>
      <c r="J409" t="s">
        <v>944</v>
      </c>
      <c r="K409" t="s">
        <v>879</v>
      </c>
    </row>
    <row r="410" spans="1:11" x14ac:dyDescent="0.35">
      <c r="A410" t="s">
        <v>808</v>
      </c>
      <c r="B410" s="1">
        <v>43505</v>
      </c>
      <c r="C410" t="s">
        <v>48</v>
      </c>
      <c r="D410" t="s">
        <v>369</v>
      </c>
      <c r="E410" t="s">
        <v>370</v>
      </c>
      <c r="F410" t="s">
        <v>928</v>
      </c>
      <c r="G410" t="s">
        <v>929</v>
      </c>
      <c r="H410">
        <v>2</v>
      </c>
      <c r="I410" t="s">
        <v>931</v>
      </c>
      <c r="J410" t="s">
        <v>944</v>
      </c>
      <c r="K410" t="s">
        <v>879</v>
      </c>
    </row>
    <row r="411" spans="1:11" x14ac:dyDescent="0.35">
      <c r="A411" t="s">
        <v>809</v>
      </c>
      <c r="B411" s="1">
        <v>43505</v>
      </c>
      <c r="C411" t="s">
        <v>810</v>
      </c>
      <c r="D411" t="s">
        <v>373</v>
      </c>
      <c r="E411" t="s">
        <v>374</v>
      </c>
      <c r="F411" t="s">
        <v>928</v>
      </c>
      <c r="G411" t="s">
        <v>929</v>
      </c>
      <c r="H411">
        <v>2</v>
      </c>
      <c r="I411" t="s">
        <v>931</v>
      </c>
      <c r="J411" t="s">
        <v>944</v>
      </c>
      <c r="K411" t="s">
        <v>879</v>
      </c>
    </row>
    <row r="412" spans="1:11" x14ac:dyDescent="0.35">
      <c r="A412" t="s">
        <v>811</v>
      </c>
      <c r="B412" s="1">
        <v>43506</v>
      </c>
      <c r="C412" t="s">
        <v>646</v>
      </c>
      <c r="D412" t="s">
        <v>377</v>
      </c>
      <c r="E412" t="s">
        <v>378</v>
      </c>
      <c r="F412" t="s">
        <v>928</v>
      </c>
      <c r="G412" t="s">
        <v>929</v>
      </c>
      <c r="H412">
        <v>2</v>
      </c>
      <c r="I412" t="s">
        <v>931</v>
      </c>
      <c r="J412" t="s">
        <v>944</v>
      </c>
      <c r="K412" t="s">
        <v>879</v>
      </c>
    </row>
    <row r="413" spans="1:11" x14ac:dyDescent="0.35">
      <c r="A413" t="s">
        <v>812</v>
      </c>
      <c r="B413" s="1">
        <v>43507</v>
      </c>
      <c r="C413" t="s">
        <v>813</v>
      </c>
      <c r="D413" t="s">
        <v>380</v>
      </c>
      <c r="E413" t="s">
        <v>381</v>
      </c>
      <c r="F413" t="s">
        <v>928</v>
      </c>
      <c r="G413" t="s">
        <v>929</v>
      </c>
      <c r="H413">
        <v>2</v>
      </c>
      <c r="I413" t="s">
        <v>931</v>
      </c>
      <c r="J413" t="s">
        <v>944</v>
      </c>
      <c r="K413" t="s">
        <v>879</v>
      </c>
    </row>
    <row r="414" spans="1:11" x14ac:dyDescent="0.35">
      <c r="A414" t="s">
        <v>814</v>
      </c>
      <c r="B414" s="1">
        <v>43508</v>
      </c>
      <c r="C414" t="s">
        <v>352</v>
      </c>
      <c r="D414" t="s">
        <v>353</v>
      </c>
      <c r="E414" t="s">
        <v>354</v>
      </c>
      <c r="F414" t="s">
        <v>928</v>
      </c>
      <c r="G414" t="s">
        <v>929</v>
      </c>
      <c r="H414">
        <v>2</v>
      </c>
      <c r="I414" t="s">
        <v>931</v>
      </c>
      <c r="J414" t="s">
        <v>944</v>
      </c>
      <c r="K414" t="s">
        <v>879</v>
      </c>
    </row>
    <row r="415" spans="1:11" x14ac:dyDescent="0.35">
      <c r="A415" t="s">
        <v>222</v>
      </c>
      <c r="B415" s="1">
        <v>43509</v>
      </c>
      <c r="C415" t="s">
        <v>192</v>
      </c>
      <c r="D415" t="s">
        <v>193</v>
      </c>
      <c r="E415" t="s">
        <v>194</v>
      </c>
      <c r="F415" t="s">
        <v>928</v>
      </c>
      <c r="G415" t="s">
        <v>929</v>
      </c>
      <c r="H415">
        <v>2</v>
      </c>
      <c r="I415" t="s">
        <v>931</v>
      </c>
      <c r="J415" t="s">
        <v>944</v>
      </c>
      <c r="K415" t="s">
        <v>879</v>
      </c>
    </row>
    <row r="416" spans="1:11" x14ac:dyDescent="0.35">
      <c r="A416" t="s">
        <v>185</v>
      </c>
      <c r="B416" s="1">
        <v>43509</v>
      </c>
      <c r="C416" t="s">
        <v>147</v>
      </c>
      <c r="D416" t="s">
        <v>7</v>
      </c>
      <c r="E416" t="s">
        <v>148</v>
      </c>
      <c r="F416" t="s">
        <v>928</v>
      </c>
      <c r="G416" t="s">
        <v>929</v>
      </c>
      <c r="H416">
        <v>2</v>
      </c>
      <c r="I416" t="s">
        <v>931</v>
      </c>
      <c r="J416" t="s">
        <v>944</v>
      </c>
      <c r="K416" t="s">
        <v>879</v>
      </c>
    </row>
    <row r="417" spans="1:11" x14ac:dyDescent="0.35">
      <c r="A417" t="s">
        <v>815</v>
      </c>
      <c r="B417" s="1">
        <v>43509</v>
      </c>
      <c r="C417" t="s">
        <v>356</v>
      </c>
      <c r="D417" t="s">
        <v>357</v>
      </c>
      <c r="E417" t="s">
        <v>358</v>
      </c>
      <c r="F417" t="s">
        <v>928</v>
      </c>
      <c r="G417" t="s">
        <v>929</v>
      </c>
      <c r="H417">
        <v>2</v>
      </c>
      <c r="I417" t="s">
        <v>931</v>
      </c>
      <c r="J417" t="s">
        <v>944</v>
      </c>
      <c r="K417" t="s">
        <v>879</v>
      </c>
    </row>
    <row r="418" spans="1:11" x14ac:dyDescent="0.35">
      <c r="A418" t="s">
        <v>816</v>
      </c>
      <c r="B418" s="1">
        <v>43510</v>
      </c>
      <c r="C418" t="s">
        <v>360</v>
      </c>
      <c r="D418" t="s">
        <v>361</v>
      </c>
      <c r="E418" t="s">
        <v>362</v>
      </c>
      <c r="F418" t="s">
        <v>928</v>
      </c>
      <c r="G418" t="s">
        <v>929</v>
      </c>
      <c r="H418">
        <v>2</v>
      </c>
      <c r="I418" t="s">
        <v>931</v>
      </c>
      <c r="J418" t="s">
        <v>944</v>
      </c>
      <c r="K418" t="s">
        <v>879</v>
      </c>
    </row>
    <row r="419" spans="1:11" x14ac:dyDescent="0.35">
      <c r="A419" t="s">
        <v>817</v>
      </c>
      <c r="B419" s="1">
        <v>43510</v>
      </c>
      <c r="C419" t="s">
        <v>364</v>
      </c>
      <c r="D419" t="s">
        <v>365</v>
      </c>
      <c r="E419" t="s">
        <v>366</v>
      </c>
      <c r="F419" t="s">
        <v>928</v>
      </c>
      <c r="G419" t="s">
        <v>929</v>
      </c>
      <c r="H419">
        <v>2</v>
      </c>
      <c r="I419" t="s">
        <v>931</v>
      </c>
      <c r="J419" t="s">
        <v>944</v>
      </c>
      <c r="K419" t="s">
        <v>879</v>
      </c>
    </row>
    <row r="420" spans="1:11" x14ac:dyDescent="0.35">
      <c r="A420" t="s">
        <v>818</v>
      </c>
      <c r="B420" s="1">
        <v>43510</v>
      </c>
      <c r="C420" t="s">
        <v>368</v>
      </c>
      <c r="D420" t="s">
        <v>369</v>
      </c>
      <c r="E420" t="s">
        <v>370</v>
      </c>
      <c r="F420" t="s">
        <v>928</v>
      </c>
      <c r="G420" t="s">
        <v>929</v>
      </c>
      <c r="H420">
        <v>2</v>
      </c>
      <c r="I420" t="s">
        <v>931</v>
      </c>
      <c r="J420" t="s">
        <v>944</v>
      </c>
      <c r="K420" t="s">
        <v>879</v>
      </c>
    </row>
    <row r="421" spans="1:11" x14ac:dyDescent="0.35">
      <c r="A421" t="s">
        <v>819</v>
      </c>
      <c r="B421" s="1">
        <v>43510</v>
      </c>
      <c r="C421" t="s">
        <v>372</v>
      </c>
      <c r="D421" t="s">
        <v>373</v>
      </c>
      <c r="E421" t="s">
        <v>374</v>
      </c>
      <c r="F421" t="s">
        <v>928</v>
      </c>
      <c r="G421" t="s">
        <v>929</v>
      </c>
      <c r="H421">
        <v>2</v>
      </c>
      <c r="I421" t="s">
        <v>931</v>
      </c>
      <c r="J421" t="s">
        <v>944</v>
      </c>
      <c r="K421" t="s">
        <v>879</v>
      </c>
    </row>
    <row r="422" spans="1:11" x14ac:dyDescent="0.35">
      <c r="A422" t="s">
        <v>820</v>
      </c>
      <c r="B422" s="1">
        <v>43511</v>
      </c>
      <c r="C422" t="s">
        <v>376</v>
      </c>
      <c r="D422" t="s">
        <v>377</v>
      </c>
      <c r="E422" t="s">
        <v>378</v>
      </c>
      <c r="F422" t="s">
        <v>928</v>
      </c>
      <c r="G422" t="s">
        <v>929</v>
      </c>
      <c r="H422">
        <v>2</v>
      </c>
      <c r="I422" t="s">
        <v>931</v>
      </c>
      <c r="J422" t="s">
        <v>944</v>
      </c>
      <c r="K422" t="s">
        <v>879</v>
      </c>
    </row>
    <row r="423" spans="1:11" x14ac:dyDescent="0.35">
      <c r="A423" t="s">
        <v>821</v>
      </c>
      <c r="B423" s="1">
        <v>43512</v>
      </c>
      <c r="C423" t="s">
        <v>138</v>
      </c>
      <c r="D423" t="s">
        <v>380</v>
      </c>
      <c r="E423" t="s">
        <v>381</v>
      </c>
      <c r="F423" t="s">
        <v>928</v>
      </c>
      <c r="G423" t="s">
        <v>929</v>
      </c>
      <c r="H423">
        <v>2</v>
      </c>
      <c r="I423" t="s">
        <v>931</v>
      </c>
      <c r="J423" t="s">
        <v>944</v>
      </c>
      <c r="K423" t="s">
        <v>879</v>
      </c>
    </row>
    <row r="424" spans="1:11" x14ac:dyDescent="0.35">
      <c r="A424" t="s">
        <v>822</v>
      </c>
      <c r="B424" s="1">
        <v>43513</v>
      </c>
      <c r="C424" t="s">
        <v>383</v>
      </c>
      <c r="D424" t="s">
        <v>384</v>
      </c>
      <c r="E424" t="s">
        <v>385</v>
      </c>
      <c r="F424" t="s">
        <v>928</v>
      </c>
      <c r="G424" t="s">
        <v>929</v>
      </c>
      <c r="H424">
        <v>2</v>
      </c>
      <c r="I424" t="s">
        <v>931</v>
      </c>
      <c r="J424" t="s">
        <v>944</v>
      </c>
      <c r="K424" t="s">
        <v>879</v>
      </c>
    </row>
    <row r="425" spans="1:11" x14ac:dyDescent="0.35">
      <c r="A425" t="s">
        <v>823</v>
      </c>
      <c r="B425" s="1">
        <v>43514</v>
      </c>
      <c r="C425" t="s">
        <v>387</v>
      </c>
      <c r="D425" t="s">
        <v>388</v>
      </c>
      <c r="E425" t="s">
        <v>389</v>
      </c>
      <c r="F425" t="s">
        <v>928</v>
      </c>
      <c r="G425" t="s">
        <v>929</v>
      </c>
      <c r="H425">
        <v>2</v>
      </c>
      <c r="I425" t="s">
        <v>931</v>
      </c>
      <c r="J425" t="s">
        <v>944</v>
      </c>
      <c r="K425" t="s">
        <v>947</v>
      </c>
    </row>
    <row r="426" spans="1:11" x14ac:dyDescent="0.35">
      <c r="A426" t="s">
        <v>824</v>
      </c>
      <c r="B426" s="1">
        <v>43515</v>
      </c>
      <c r="C426" t="s">
        <v>391</v>
      </c>
      <c r="D426" t="s">
        <v>392</v>
      </c>
      <c r="E426" t="s">
        <v>389</v>
      </c>
      <c r="F426" t="s">
        <v>928</v>
      </c>
      <c r="G426" t="s">
        <v>929</v>
      </c>
      <c r="H426">
        <v>2</v>
      </c>
      <c r="I426" t="s">
        <v>931</v>
      </c>
      <c r="J426" t="s">
        <v>944</v>
      </c>
      <c r="K426" t="s">
        <v>879</v>
      </c>
    </row>
    <row r="427" spans="1:11" x14ac:dyDescent="0.35">
      <c r="A427" t="s">
        <v>825</v>
      </c>
      <c r="B427" s="1">
        <v>43515</v>
      </c>
      <c r="C427" t="s">
        <v>394</v>
      </c>
      <c r="D427" t="s">
        <v>395</v>
      </c>
      <c r="E427" t="s">
        <v>396</v>
      </c>
      <c r="F427" t="s">
        <v>928</v>
      </c>
      <c r="G427" t="s">
        <v>929</v>
      </c>
      <c r="H427">
        <v>2</v>
      </c>
      <c r="I427" t="s">
        <v>931</v>
      </c>
      <c r="J427" t="s">
        <v>944</v>
      </c>
      <c r="K427" t="s">
        <v>879</v>
      </c>
    </row>
    <row r="428" spans="1:11" x14ac:dyDescent="0.35">
      <c r="A428" t="s">
        <v>826</v>
      </c>
      <c r="B428" s="1">
        <v>43515</v>
      </c>
      <c r="C428" t="s">
        <v>398</v>
      </c>
      <c r="D428" t="s">
        <v>399</v>
      </c>
      <c r="E428" t="s">
        <v>400</v>
      </c>
      <c r="F428" t="s">
        <v>928</v>
      </c>
      <c r="G428" t="s">
        <v>929</v>
      </c>
      <c r="H428">
        <v>2</v>
      </c>
      <c r="I428" t="s">
        <v>931</v>
      </c>
      <c r="J428" t="s">
        <v>944</v>
      </c>
      <c r="K428" t="s">
        <v>879</v>
      </c>
    </row>
    <row r="429" spans="1:11" x14ac:dyDescent="0.35">
      <c r="A429" t="s">
        <v>827</v>
      </c>
      <c r="B429" s="1">
        <v>43515</v>
      </c>
      <c r="C429" t="s">
        <v>402</v>
      </c>
      <c r="D429" t="s">
        <v>403</v>
      </c>
      <c r="E429" t="s">
        <v>403</v>
      </c>
      <c r="F429" t="s">
        <v>928</v>
      </c>
      <c r="G429" t="s">
        <v>929</v>
      </c>
      <c r="H429">
        <v>2</v>
      </c>
      <c r="I429" t="s">
        <v>931</v>
      </c>
      <c r="J429" t="s">
        <v>944</v>
      </c>
      <c r="K429" t="s">
        <v>879</v>
      </c>
    </row>
    <row r="430" spans="1:11" x14ac:dyDescent="0.35">
      <c r="A430" t="s">
        <v>828</v>
      </c>
      <c r="B430" s="1">
        <v>43516</v>
      </c>
      <c r="C430" t="s">
        <v>405</v>
      </c>
      <c r="D430" t="s">
        <v>406</v>
      </c>
      <c r="E430" t="s">
        <v>407</v>
      </c>
      <c r="F430" t="s">
        <v>928</v>
      </c>
      <c r="G430" t="s">
        <v>929</v>
      </c>
      <c r="H430">
        <v>2</v>
      </c>
      <c r="I430" t="s">
        <v>931</v>
      </c>
      <c r="J430" t="s">
        <v>944</v>
      </c>
      <c r="K430" t="s">
        <v>879</v>
      </c>
    </row>
    <row r="431" spans="1:11" x14ac:dyDescent="0.35">
      <c r="A431" t="s">
        <v>829</v>
      </c>
      <c r="B431" s="1">
        <v>43516</v>
      </c>
      <c r="C431" t="s">
        <v>409</v>
      </c>
      <c r="D431" t="s">
        <v>410</v>
      </c>
      <c r="E431" t="s">
        <v>411</v>
      </c>
      <c r="F431" t="s">
        <v>928</v>
      </c>
      <c r="G431" t="s">
        <v>929</v>
      </c>
      <c r="H431">
        <v>2</v>
      </c>
      <c r="I431" t="s">
        <v>931</v>
      </c>
      <c r="J431" t="s">
        <v>944</v>
      </c>
      <c r="K431" t="s">
        <v>879</v>
      </c>
    </row>
    <row r="432" spans="1:11" x14ac:dyDescent="0.35">
      <c r="A432" t="s">
        <v>830</v>
      </c>
      <c r="B432" s="1">
        <v>43516</v>
      </c>
      <c r="C432" t="s">
        <v>413</v>
      </c>
      <c r="D432" t="s">
        <v>353</v>
      </c>
      <c r="E432" t="s">
        <v>354</v>
      </c>
      <c r="F432" t="s">
        <v>928</v>
      </c>
      <c r="G432" t="s">
        <v>929</v>
      </c>
      <c r="H432">
        <v>2</v>
      </c>
      <c r="I432" t="s">
        <v>931</v>
      </c>
      <c r="J432" t="s">
        <v>944</v>
      </c>
      <c r="K432" t="s">
        <v>879</v>
      </c>
    </row>
    <row r="433" spans="1:11" x14ac:dyDescent="0.35">
      <c r="A433" t="s">
        <v>223</v>
      </c>
      <c r="B433" s="1">
        <v>43517</v>
      </c>
      <c r="C433" t="s">
        <v>196</v>
      </c>
      <c r="D433" t="s">
        <v>193</v>
      </c>
      <c r="E433" t="s">
        <v>194</v>
      </c>
      <c r="F433" t="s">
        <v>928</v>
      </c>
      <c r="G433" t="s">
        <v>929</v>
      </c>
      <c r="H433">
        <v>2</v>
      </c>
      <c r="I433" t="s">
        <v>931</v>
      </c>
      <c r="J433" t="s">
        <v>944</v>
      </c>
      <c r="K433" t="s">
        <v>879</v>
      </c>
    </row>
    <row r="434" spans="1:11" x14ac:dyDescent="0.35">
      <c r="A434" t="s">
        <v>186</v>
      </c>
      <c r="B434" s="1">
        <v>43518</v>
      </c>
      <c r="C434" t="s">
        <v>150</v>
      </c>
      <c r="D434" t="s">
        <v>7</v>
      </c>
      <c r="E434" t="s">
        <v>148</v>
      </c>
      <c r="F434" t="s">
        <v>928</v>
      </c>
      <c r="G434" t="s">
        <v>929</v>
      </c>
      <c r="H434">
        <v>2</v>
      </c>
      <c r="I434" t="s">
        <v>931</v>
      </c>
      <c r="J434" t="s">
        <v>944</v>
      </c>
      <c r="K434" t="s">
        <v>879</v>
      </c>
    </row>
    <row r="435" spans="1:11" x14ac:dyDescent="0.35">
      <c r="A435" t="s">
        <v>831</v>
      </c>
      <c r="B435" s="1">
        <v>43518</v>
      </c>
      <c r="C435" t="s">
        <v>415</v>
      </c>
      <c r="D435" t="s">
        <v>357</v>
      </c>
      <c r="E435" t="s">
        <v>358</v>
      </c>
      <c r="F435" t="s">
        <v>928</v>
      </c>
      <c r="G435" t="s">
        <v>929</v>
      </c>
      <c r="H435">
        <v>2</v>
      </c>
      <c r="I435" t="s">
        <v>931</v>
      </c>
      <c r="J435" t="s">
        <v>944</v>
      </c>
      <c r="K435" t="s">
        <v>879</v>
      </c>
    </row>
    <row r="436" spans="1:11" x14ac:dyDescent="0.35">
      <c r="A436" t="s">
        <v>832</v>
      </c>
      <c r="B436" s="1">
        <v>43518</v>
      </c>
      <c r="C436" t="s">
        <v>417</v>
      </c>
      <c r="D436" t="s">
        <v>361</v>
      </c>
      <c r="E436" t="s">
        <v>362</v>
      </c>
      <c r="F436" t="s">
        <v>928</v>
      </c>
      <c r="G436" t="s">
        <v>929</v>
      </c>
      <c r="H436">
        <v>2</v>
      </c>
      <c r="I436" t="s">
        <v>931</v>
      </c>
      <c r="J436" t="s">
        <v>944</v>
      </c>
      <c r="K436" t="s">
        <v>879</v>
      </c>
    </row>
    <row r="437" spans="1:11" x14ac:dyDescent="0.35">
      <c r="A437" t="s">
        <v>833</v>
      </c>
      <c r="B437" s="1">
        <v>43519</v>
      </c>
      <c r="C437" t="s">
        <v>419</v>
      </c>
      <c r="D437" t="s">
        <v>365</v>
      </c>
      <c r="E437" t="s">
        <v>366</v>
      </c>
      <c r="F437" t="s">
        <v>928</v>
      </c>
      <c r="G437" t="s">
        <v>929</v>
      </c>
      <c r="H437">
        <v>2</v>
      </c>
      <c r="I437" t="s">
        <v>931</v>
      </c>
      <c r="J437" t="s">
        <v>944</v>
      </c>
      <c r="K437" t="s">
        <v>879</v>
      </c>
    </row>
    <row r="438" spans="1:11" x14ac:dyDescent="0.35">
      <c r="A438" t="s">
        <v>834</v>
      </c>
      <c r="B438" s="1">
        <v>43519</v>
      </c>
      <c r="C438" t="s">
        <v>421</v>
      </c>
      <c r="D438" t="s">
        <v>369</v>
      </c>
      <c r="E438" t="s">
        <v>370</v>
      </c>
      <c r="F438" t="s">
        <v>928</v>
      </c>
      <c r="G438" t="s">
        <v>929</v>
      </c>
      <c r="H438">
        <v>2</v>
      </c>
      <c r="I438" t="s">
        <v>931</v>
      </c>
      <c r="J438" t="s">
        <v>944</v>
      </c>
      <c r="K438" t="s">
        <v>879</v>
      </c>
    </row>
    <row r="439" spans="1:11" x14ac:dyDescent="0.35">
      <c r="A439" t="s">
        <v>343</v>
      </c>
      <c r="B439" s="1">
        <v>43519</v>
      </c>
      <c r="C439" t="s">
        <v>229</v>
      </c>
      <c r="D439" t="s">
        <v>193</v>
      </c>
      <c r="E439" t="s">
        <v>230</v>
      </c>
      <c r="F439" t="s">
        <v>928</v>
      </c>
      <c r="G439" t="s">
        <v>929</v>
      </c>
      <c r="H439">
        <v>2</v>
      </c>
      <c r="I439" t="s">
        <v>931</v>
      </c>
      <c r="J439" t="s">
        <v>944</v>
      </c>
      <c r="K439" t="s">
        <v>879</v>
      </c>
    </row>
    <row r="440" spans="1:11" x14ac:dyDescent="0.35">
      <c r="A440" t="s">
        <v>139</v>
      </c>
      <c r="B440" s="1">
        <v>43519</v>
      </c>
      <c r="C440" t="s">
        <v>6</v>
      </c>
      <c r="D440" t="s">
        <v>7</v>
      </c>
      <c r="E440" t="s">
        <v>8</v>
      </c>
      <c r="F440" t="s">
        <v>928</v>
      </c>
      <c r="G440" t="s">
        <v>929</v>
      </c>
      <c r="H440">
        <v>2</v>
      </c>
      <c r="I440" t="s">
        <v>931</v>
      </c>
      <c r="J440" t="s">
        <v>944</v>
      </c>
      <c r="K440" t="s">
        <v>879</v>
      </c>
    </row>
    <row r="441" spans="1:11" x14ac:dyDescent="0.35">
      <c r="A441" t="s">
        <v>835</v>
      </c>
      <c r="B441" s="1">
        <v>43520</v>
      </c>
      <c r="C441" t="s">
        <v>423</v>
      </c>
      <c r="D441" t="s">
        <v>380</v>
      </c>
      <c r="E441" t="s">
        <v>381</v>
      </c>
      <c r="F441" t="s">
        <v>928</v>
      </c>
      <c r="G441" t="s">
        <v>929</v>
      </c>
      <c r="H441">
        <v>2</v>
      </c>
      <c r="I441" t="s">
        <v>931</v>
      </c>
      <c r="J441" t="s">
        <v>944</v>
      </c>
      <c r="K441" t="s">
        <v>879</v>
      </c>
    </row>
    <row r="442" spans="1:11" x14ac:dyDescent="0.35">
      <c r="A442" t="s">
        <v>836</v>
      </c>
      <c r="B442" s="1">
        <v>43521</v>
      </c>
      <c r="C442" t="s">
        <v>425</v>
      </c>
      <c r="D442" t="s">
        <v>384</v>
      </c>
      <c r="E442" t="s">
        <v>385</v>
      </c>
      <c r="F442" t="s">
        <v>928</v>
      </c>
      <c r="G442" t="s">
        <v>929</v>
      </c>
      <c r="H442">
        <v>2</v>
      </c>
      <c r="I442" t="s">
        <v>931</v>
      </c>
      <c r="J442" t="s">
        <v>944</v>
      </c>
      <c r="K442" t="s">
        <v>879</v>
      </c>
    </row>
    <row r="443" spans="1:11" x14ac:dyDescent="0.35">
      <c r="A443" t="s">
        <v>837</v>
      </c>
      <c r="B443" s="1">
        <v>43522</v>
      </c>
      <c r="C443" t="s">
        <v>427</v>
      </c>
      <c r="D443" t="s">
        <v>388</v>
      </c>
      <c r="E443" t="s">
        <v>389</v>
      </c>
      <c r="F443" t="s">
        <v>928</v>
      </c>
      <c r="G443" t="s">
        <v>929</v>
      </c>
      <c r="H443">
        <v>2</v>
      </c>
      <c r="I443" t="s">
        <v>931</v>
      </c>
      <c r="J443" t="s">
        <v>944</v>
      </c>
      <c r="K443" t="s">
        <v>879</v>
      </c>
    </row>
    <row r="444" spans="1:11" x14ac:dyDescent="0.35">
      <c r="A444" t="s">
        <v>838</v>
      </c>
      <c r="B444" s="1">
        <v>43523</v>
      </c>
      <c r="C444" t="s">
        <v>429</v>
      </c>
      <c r="D444" t="s">
        <v>392</v>
      </c>
      <c r="E444" t="s">
        <v>389</v>
      </c>
      <c r="F444" t="s">
        <v>928</v>
      </c>
      <c r="G444" t="s">
        <v>929</v>
      </c>
      <c r="H444">
        <v>2</v>
      </c>
      <c r="I444" t="s">
        <v>931</v>
      </c>
      <c r="J444" t="s">
        <v>944</v>
      </c>
      <c r="K444" t="s">
        <v>947</v>
      </c>
    </row>
    <row r="445" spans="1:11" x14ac:dyDescent="0.35">
      <c r="A445" t="s">
        <v>839</v>
      </c>
      <c r="B445" s="1">
        <v>43524</v>
      </c>
      <c r="C445" t="s">
        <v>431</v>
      </c>
      <c r="D445" t="s">
        <v>395</v>
      </c>
      <c r="E445" t="s">
        <v>396</v>
      </c>
      <c r="F445" t="s">
        <v>928</v>
      </c>
      <c r="G445" t="s">
        <v>929</v>
      </c>
      <c r="H445">
        <v>2</v>
      </c>
      <c r="I445" t="s">
        <v>931</v>
      </c>
      <c r="J445" t="s">
        <v>944</v>
      </c>
      <c r="K445" t="s">
        <v>879</v>
      </c>
    </row>
    <row r="446" spans="1:11" x14ac:dyDescent="0.35">
      <c r="A446" t="s">
        <v>840</v>
      </c>
      <c r="B446" s="1">
        <v>43525</v>
      </c>
      <c r="C446" t="s">
        <v>433</v>
      </c>
      <c r="D446" t="s">
        <v>399</v>
      </c>
      <c r="E446" t="s">
        <v>400</v>
      </c>
      <c r="F446" t="s">
        <v>928</v>
      </c>
      <c r="G446" t="s">
        <v>929</v>
      </c>
      <c r="H446">
        <v>3</v>
      </c>
      <c r="I446" t="s">
        <v>932</v>
      </c>
      <c r="J446" t="s">
        <v>945</v>
      </c>
      <c r="K446" t="s">
        <v>879</v>
      </c>
    </row>
    <row r="447" spans="1:11" x14ac:dyDescent="0.35">
      <c r="A447" t="s">
        <v>841</v>
      </c>
      <c r="B447" s="1">
        <v>43526</v>
      </c>
      <c r="C447" t="s">
        <v>326</v>
      </c>
      <c r="D447" t="s">
        <v>403</v>
      </c>
      <c r="E447" t="s">
        <v>403</v>
      </c>
      <c r="F447" t="s">
        <v>928</v>
      </c>
      <c r="G447" t="s">
        <v>929</v>
      </c>
      <c r="H447">
        <v>3</v>
      </c>
      <c r="I447" t="s">
        <v>932</v>
      </c>
      <c r="J447" t="s">
        <v>945</v>
      </c>
      <c r="K447" t="s">
        <v>879</v>
      </c>
    </row>
    <row r="448" spans="1:11" x14ac:dyDescent="0.35">
      <c r="A448" t="s">
        <v>842</v>
      </c>
      <c r="B448" s="1">
        <v>43527</v>
      </c>
      <c r="C448" t="s">
        <v>436</v>
      </c>
      <c r="D448" t="s">
        <v>406</v>
      </c>
      <c r="E448" t="s">
        <v>407</v>
      </c>
      <c r="F448" t="s">
        <v>928</v>
      </c>
      <c r="G448" t="s">
        <v>929</v>
      </c>
      <c r="H448">
        <v>3</v>
      </c>
      <c r="I448" t="s">
        <v>932</v>
      </c>
      <c r="J448" t="s">
        <v>945</v>
      </c>
      <c r="K448" t="s">
        <v>879</v>
      </c>
    </row>
    <row r="449" spans="1:11" x14ac:dyDescent="0.35">
      <c r="A449" t="s">
        <v>344</v>
      </c>
      <c r="B449" s="1">
        <v>43528</v>
      </c>
      <c r="C449" t="s">
        <v>232</v>
      </c>
      <c r="D449" t="s">
        <v>193</v>
      </c>
      <c r="E449" t="s">
        <v>230</v>
      </c>
      <c r="F449" t="s">
        <v>928</v>
      </c>
      <c r="G449" t="s">
        <v>929</v>
      </c>
      <c r="H449">
        <v>3</v>
      </c>
      <c r="I449" t="s">
        <v>932</v>
      </c>
      <c r="J449" t="s">
        <v>945</v>
      </c>
      <c r="K449" t="s">
        <v>879</v>
      </c>
    </row>
    <row r="450" spans="1:11" x14ac:dyDescent="0.35">
      <c r="A450" t="s">
        <v>140</v>
      </c>
      <c r="B450" s="1">
        <v>43528</v>
      </c>
      <c r="C450" t="s">
        <v>10</v>
      </c>
      <c r="D450" t="s">
        <v>7</v>
      </c>
      <c r="E450" t="s">
        <v>8</v>
      </c>
      <c r="F450" t="s">
        <v>928</v>
      </c>
      <c r="G450" t="s">
        <v>929</v>
      </c>
      <c r="H450">
        <v>3</v>
      </c>
      <c r="I450" t="s">
        <v>932</v>
      </c>
      <c r="J450" t="s">
        <v>945</v>
      </c>
      <c r="K450" t="s">
        <v>879</v>
      </c>
    </row>
    <row r="451" spans="1:11" x14ac:dyDescent="0.35">
      <c r="A451" t="s">
        <v>224</v>
      </c>
      <c r="B451" s="1">
        <v>43528</v>
      </c>
      <c r="C451" t="s">
        <v>198</v>
      </c>
      <c r="D451" t="s">
        <v>193</v>
      </c>
      <c r="E451" t="s">
        <v>194</v>
      </c>
      <c r="F451" t="s">
        <v>928</v>
      </c>
      <c r="G451" t="s">
        <v>929</v>
      </c>
      <c r="H451">
        <v>3</v>
      </c>
      <c r="I451" t="s">
        <v>932</v>
      </c>
      <c r="J451" t="s">
        <v>945</v>
      </c>
      <c r="K451" t="s">
        <v>879</v>
      </c>
    </row>
    <row r="452" spans="1:11" x14ac:dyDescent="0.35">
      <c r="A452" t="s">
        <v>187</v>
      </c>
      <c r="B452" s="1">
        <v>43529</v>
      </c>
      <c r="C452" t="s">
        <v>152</v>
      </c>
      <c r="D452" t="s">
        <v>7</v>
      </c>
      <c r="E452" t="s">
        <v>148</v>
      </c>
      <c r="F452" t="s">
        <v>928</v>
      </c>
      <c r="G452" t="s">
        <v>929</v>
      </c>
      <c r="H452">
        <v>3</v>
      </c>
      <c r="I452" t="s">
        <v>932</v>
      </c>
      <c r="J452" t="s">
        <v>945</v>
      </c>
      <c r="K452" t="s">
        <v>879</v>
      </c>
    </row>
    <row r="453" spans="1:11" x14ac:dyDescent="0.35">
      <c r="A453" t="s">
        <v>843</v>
      </c>
      <c r="B453" s="1">
        <v>43530</v>
      </c>
      <c r="C453" t="s">
        <v>438</v>
      </c>
      <c r="D453" t="s">
        <v>357</v>
      </c>
      <c r="E453" t="s">
        <v>358</v>
      </c>
      <c r="F453" t="s">
        <v>928</v>
      </c>
      <c r="G453" t="s">
        <v>929</v>
      </c>
      <c r="H453">
        <v>3</v>
      </c>
      <c r="I453" t="s">
        <v>932</v>
      </c>
      <c r="J453" t="s">
        <v>945</v>
      </c>
      <c r="K453" t="s">
        <v>879</v>
      </c>
    </row>
    <row r="454" spans="1:11" x14ac:dyDescent="0.35">
      <c r="A454" t="s">
        <v>844</v>
      </c>
      <c r="B454" s="1">
        <v>43531</v>
      </c>
      <c r="C454" t="s">
        <v>440</v>
      </c>
      <c r="D454" t="s">
        <v>361</v>
      </c>
      <c r="E454" t="s">
        <v>362</v>
      </c>
      <c r="F454" t="s">
        <v>928</v>
      </c>
      <c r="G454" t="s">
        <v>929</v>
      </c>
      <c r="H454">
        <v>3</v>
      </c>
      <c r="I454" t="s">
        <v>932</v>
      </c>
      <c r="J454" t="s">
        <v>945</v>
      </c>
      <c r="K454" t="s">
        <v>879</v>
      </c>
    </row>
    <row r="455" spans="1:11" x14ac:dyDescent="0.35">
      <c r="A455" t="s">
        <v>845</v>
      </c>
      <c r="B455" s="1">
        <v>43532</v>
      </c>
      <c r="C455" t="s">
        <v>442</v>
      </c>
      <c r="D455" t="s">
        <v>365</v>
      </c>
      <c r="E455" t="s">
        <v>366</v>
      </c>
      <c r="F455" t="s">
        <v>928</v>
      </c>
      <c r="G455" t="s">
        <v>929</v>
      </c>
      <c r="H455">
        <v>3</v>
      </c>
      <c r="I455" t="s">
        <v>932</v>
      </c>
      <c r="J455" t="s">
        <v>945</v>
      </c>
      <c r="K455" t="s">
        <v>879</v>
      </c>
    </row>
    <row r="456" spans="1:11" x14ac:dyDescent="0.35">
      <c r="A456" t="s">
        <v>846</v>
      </c>
      <c r="B456" s="1">
        <v>43533</v>
      </c>
      <c r="C456" t="s">
        <v>444</v>
      </c>
      <c r="D456" t="s">
        <v>369</v>
      </c>
      <c r="E456" t="s">
        <v>370</v>
      </c>
      <c r="F456" t="s">
        <v>928</v>
      </c>
      <c r="G456" t="s">
        <v>929</v>
      </c>
      <c r="H456">
        <v>3</v>
      </c>
      <c r="I456" t="s">
        <v>932</v>
      </c>
      <c r="J456" t="s">
        <v>945</v>
      </c>
      <c r="K456" t="s">
        <v>879</v>
      </c>
    </row>
    <row r="457" spans="1:11" x14ac:dyDescent="0.35">
      <c r="A457" t="s">
        <v>345</v>
      </c>
      <c r="B457" s="1">
        <v>43534</v>
      </c>
      <c r="C457" t="s">
        <v>234</v>
      </c>
      <c r="D457" t="s">
        <v>193</v>
      </c>
      <c r="E457" t="s">
        <v>230</v>
      </c>
      <c r="F457" t="s">
        <v>928</v>
      </c>
      <c r="G457" t="s">
        <v>929</v>
      </c>
      <c r="H457">
        <v>3</v>
      </c>
      <c r="I457" t="s">
        <v>932</v>
      </c>
      <c r="J457" t="s">
        <v>945</v>
      </c>
      <c r="K457" t="s">
        <v>879</v>
      </c>
    </row>
    <row r="458" spans="1:11" x14ac:dyDescent="0.35">
      <c r="A458" t="s">
        <v>141</v>
      </c>
      <c r="B458" s="1">
        <v>43534</v>
      </c>
      <c r="C458" t="s">
        <v>12</v>
      </c>
      <c r="D458" t="s">
        <v>7</v>
      </c>
      <c r="E458" t="s">
        <v>8</v>
      </c>
      <c r="F458" t="s">
        <v>928</v>
      </c>
      <c r="G458" t="s">
        <v>929</v>
      </c>
      <c r="H458">
        <v>3</v>
      </c>
      <c r="I458" t="s">
        <v>932</v>
      </c>
      <c r="J458" t="s">
        <v>945</v>
      </c>
      <c r="K458" t="s">
        <v>879</v>
      </c>
    </row>
    <row r="459" spans="1:11" x14ac:dyDescent="0.35">
      <c r="A459" t="s">
        <v>847</v>
      </c>
      <c r="B459" s="1">
        <v>43534</v>
      </c>
      <c r="C459" t="s">
        <v>446</v>
      </c>
      <c r="D459" t="s">
        <v>380</v>
      </c>
      <c r="E459" t="s">
        <v>381</v>
      </c>
      <c r="F459" t="s">
        <v>928</v>
      </c>
      <c r="G459" t="s">
        <v>929</v>
      </c>
      <c r="H459">
        <v>3</v>
      </c>
      <c r="I459" t="s">
        <v>932</v>
      </c>
      <c r="J459" t="s">
        <v>945</v>
      </c>
      <c r="K459" t="s">
        <v>879</v>
      </c>
    </row>
    <row r="460" spans="1:11" x14ac:dyDescent="0.35">
      <c r="A460" t="s">
        <v>848</v>
      </c>
      <c r="B460" s="1">
        <v>43534</v>
      </c>
      <c r="C460" t="s">
        <v>448</v>
      </c>
      <c r="D460" t="s">
        <v>384</v>
      </c>
      <c r="E460" t="s">
        <v>385</v>
      </c>
      <c r="F460" t="s">
        <v>928</v>
      </c>
      <c r="G460" t="s">
        <v>929</v>
      </c>
      <c r="H460">
        <v>3</v>
      </c>
      <c r="I460" t="s">
        <v>932</v>
      </c>
      <c r="J460" t="s">
        <v>945</v>
      </c>
      <c r="K460" t="s">
        <v>879</v>
      </c>
    </row>
    <row r="461" spans="1:11" x14ac:dyDescent="0.35">
      <c r="A461" t="s">
        <v>849</v>
      </c>
      <c r="B461" s="1">
        <v>43535</v>
      </c>
      <c r="C461" t="s">
        <v>450</v>
      </c>
      <c r="D461" t="s">
        <v>388</v>
      </c>
      <c r="E461" t="s">
        <v>389</v>
      </c>
      <c r="F461" t="s">
        <v>928</v>
      </c>
      <c r="G461" t="s">
        <v>929</v>
      </c>
      <c r="H461">
        <v>3</v>
      </c>
      <c r="I461" t="s">
        <v>932</v>
      </c>
      <c r="J461" t="s">
        <v>945</v>
      </c>
      <c r="K461" t="s">
        <v>879</v>
      </c>
    </row>
    <row r="462" spans="1:11" x14ac:dyDescent="0.35">
      <c r="A462" t="s">
        <v>850</v>
      </c>
      <c r="B462" s="1">
        <v>43536</v>
      </c>
      <c r="C462" t="s">
        <v>452</v>
      </c>
      <c r="D462" t="s">
        <v>392</v>
      </c>
      <c r="E462" t="s">
        <v>389</v>
      </c>
      <c r="F462" t="s">
        <v>928</v>
      </c>
      <c r="G462" t="s">
        <v>929</v>
      </c>
      <c r="H462">
        <v>3</v>
      </c>
      <c r="I462" t="s">
        <v>932</v>
      </c>
      <c r="J462" t="s">
        <v>945</v>
      </c>
      <c r="K462" t="s">
        <v>879</v>
      </c>
    </row>
    <row r="463" spans="1:11" x14ac:dyDescent="0.35">
      <c r="A463" t="s">
        <v>346</v>
      </c>
      <c r="B463" s="1">
        <v>43537</v>
      </c>
      <c r="C463" t="s">
        <v>236</v>
      </c>
      <c r="D463" t="s">
        <v>193</v>
      </c>
      <c r="E463" t="s">
        <v>230</v>
      </c>
      <c r="F463" t="s">
        <v>928</v>
      </c>
      <c r="G463" t="s">
        <v>929</v>
      </c>
      <c r="H463">
        <v>3</v>
      </c>
      <c r="I463" t="s">
        <v>932</v>
      </c>
      <c r="J463" t="s">
        <v>945</v>
      </c>
      <c r="K463" t="s">
        <v>879</v>
      </c>
    </row>
    <row r="464" spans="1:11" x14ac:dyDescent="0.35">
      <c r="A464" t="s">
        <v>142</v>
      </c>
      <c r="B464" s="1">
        <v>43538</v>
      </c>
      <c r="C464" t="s">
        <v>14</v>
      </c>
      <c r="D464" t="s">
        <v>7</v>
      </c>
      <c r="E464" t="s">
        <v>8</v>
      </c>
      <c r="F464" t="s">
        <v>928</v>
      </c>
      <c r="G464" t="s">
        <v>929</v>
      </c>
      <c r="H464">
        <v>3</v>
      </c>
      <c r="I464" t="s">
        <v>932</v>
      </c>
      <c r="J464" t="s">
        <v>945</v>
      </c>
      <c r="K464" t="s">
        <v>879</v>
      </c>
    </row>
    <row r="465" spans="1:11" x14ac:dyDescent="0.35">
      <c r="A465" t="s">
        <v>851</v>
      </c>
      <c r="B465" s="1">
        <v>43539</v>
      </c>
      <c r="C465" t="s">
        <v>454</v>
      </c>
      <c r="D465" t="s">
        <v>403</v>
      </c>
      <c r="E465" t="s">
        <v>403</v>
      </c>
      <c r="F465" t="s">
        <v>928</v>
      </c>
      <c r="G465" t="s">
        <v>929</v>
      </c>
      <c r="H465">
        <v>3</v>
      </c>
      <c r="I465" t="s">
        <v>932</v>
      </c>
      <c r="J465" t="s">
        <v>945</v>
      </c>
      <c r="K465" t="s">
        <v>947</v>
      </c>
    </row>
    <row r="466" spans="1:11" x14ac:dyDescent="0.35">
      <c r="A466" t="s">
        <v>852</v>
      </c>
      <c r="B466" s="1">
        <v>43539</v>
      </c>
      <c r="C466" t="s">
        <v>456</v>
      </c>
      <c r="D466" t="s">
        <v>406</v>
      </c>
      <c r="E466" t="s">
        <v>407</v>
      </c>
      <c r="F466" t="s">
        <v>928</v>
      </c>
      <c r="G466" t="s">
        <v>929</v>
      </c>
      <c r="H466">
        <v>3</v>
      </c>
      <c r="I466" t="s">
        <v>932</v>
      </c>
      <c r="J466" t="s">
        <v>945</v>
      </c>
      <c r="K466" t="s">
        <v>947</v>
      </c>
    </row>
    <row r="467" spans="1:11" x14ac:dyDescent="0.35">
      <c r="A467" t="s">
        <v>347</v>
      </c>
      <c r="B467" s="1">
        <v>43540</v>
      </c>
      <c r="C467" t="s">
        <v>348</v>
      </c>
      <c r="D467" t="s">
        <v>193</v>
      </c>
      <c r="E467" t="s">
        <v>230</v>
      </c>
      <c r="F467" t="s">
        <v>928</v>
      </c>
      <c r="G467" t="s">
        <v>929</v>
      </c>
      <c r="H467">
        <v>3</v>
      </c>
      <c r="I467" t="s">
        <v>932</v>
      </c>
      <c r="J467" t="s">
        <v>945</v>
      </c>
      <c r="K467" t="s">
        <v>879</v>
      </c>
    </row>
    <row r="468" spans="1:11" x14ac:dyDescent="0.35">
      <c r="A468" t="s">
        <v>143</v>
      </c>
      <c r="B468" s="1">
        <v>43540</v>
      </c>
      <c r="C468" t="s">
        <v>16</v>
      </c>
      <c r="D468" t="s">
        <v>7</v>
      </c>
      <c r="E468" t="s">
        <v>8</v>
      </c>
      <c r="F468" t="s">
        <v>928</v>
      </c>
      <c r="G468" t="s">
        <v>929</v>
      </c>
      <c r="H468">
        <v>3</v>
      </c>
      <c r="I468" t="s">
        <v>932</v>
      </c>
      <c r="J468" t="s">
        <v>945</v>
      </c>
      <c r="K468" t="s">
        <v>879</v>
      </c>
    </row>
    <row r="469" spans="1:11" x14ac:dyDescent="0.35">
      <c r="A469" t="s">
        <v>225</v>
      </c>
      <c r="B469" s="1">
        <v>43540</v>
      </c>
      <c r="C469" t="s">
        <v>123</v>
      </c>
      <c r="D469" t="s">
        <v>193</v>
      </c>
      <c r="E469" t="s">
        <v>194</v>
      </c>
      <c r="F469" t="s">
        <v>928</v>
      </c>
      <c r="G469" t="s">
        <v>929</v>
      </c>
      <c r="H469">
        <v>3</v>
      </c>
      <c r="I469" t="s">
        <v>932</v>
      </c>
      <c r="J469" t="s">
        <v>945</v>
      </c>
      <c r="K469" t="s">
        <v>879</v>
      </c>
    </row>
    <row r="470" spans="1:11" x14ac:dyDescent="0.35">
      <c r="A470" t="s">
        <v>188</v>
      </c>
      <c r="B470" s="1">
        <v>43540</v>
      </c>
      <c r="C470" t="s">
        <v>154</v>
      </c>
      <c r="D470" t="s">
        <v>7</v>
      </c>
      <c r="E470" t="s">
        <v>148</v>
      </c>
      <c r="F470" t="s">
        <v>928</v>
      </c>
      <c r="G470" t="s">
        <v>929</v>
      </c>
      <c r="H470">
        <v>3</v>
      </c>
      <c r="I470" t="s">
        <v>932</v>
      </c>
      <c r="J470" t="s">
        <v>945</v>
      </c>
      <c r="K470" t="s">
        <v>879</v>
      </c>
    </row>
    <row r="471" spans="1:11" x14ac:dyDescent="0.35">
      <c r="A471" t="s">
        <v>853</v>
      </c>
      <c r="B471" s="1">
        <v>43540</v>
      </c>
      <c r="C471" t="s">
        <v>458</v>
      </c>
      <c r="D471" t="s">
        <v>357</v>
      </c>
      <c r="E471" t="s">
        <v>358</v>
      </c>
      <c r="F471" t="s">
        <v>928</v>
      </c>
      <c r="G471" t="s">
        <v>929</v>
      </c>
      <c r="H471">
        <v>3</v>
      </c>
      <c r="I471" t="s">
        <v>932</v>
      </c>
      <c r="J471" t="s">
        <v>945</v>
      </c>
      <c r="K471" t="s">
        <v>879</v>
      </c>
    </row>
    <row r="472" spans="1:11" x14ac:dyDescent="0.35">
      <c r="A472" t="s">
        <v>854</v>
      </c>
      <c r="B472" s="1">
        <v>43541</v>
      </c>
      <c r="C472" t="s">
        <v>460</v>
      </c>
      <c r="D472" t="s">
        <v>361</v>
      </c>
      <c r="E472" t="s">
        <v>362</v>
      </c>
      <c r="F472" t="s">
        <v>928</v>
      </c>
      <c r="G472" t="s">
        <v>929</v>
      </c>
      <c r="H472">
        <v>3</v>
      </c>
      <c r="I472" t="s">
        <v>932</v>
      </c>
      <c r="J472" t="s">
        <v>945</v>
      </c>
      <c r="K472" t="s">
        <v>879</v>
      </c>
    </row>
    <row r="473" spans="1:11" x14ac:dyDescent="0.35">
      <c r="A473" t="s">
        <v>855</v>
      </c>
      <c r="B473" s="1">
        <v>43542</v>
      </c>
      <c r="C473" t="s">
        <v>121</v>
      </c>
      <c r="D473" t="s">
        <v>365</v>
      </c>
      <c r="E473" t="s">
        <v>366</v>
      </c>
      <c r="F473" t="s">
        <v>928</v>
      </c>
      <c r="G473" t="s">
        <v>929</v>
      </c>
      <c r="H473">
        <v>3</v>
      </c>
      <c r="I473" t="s">
        <v>932</v>
      </c>
      <c r="J473" t="s">
        <v>945</v>
      </c>
      <c r="K473" t="s">
        <v>879</v>
      </c>
    </row>
    <row r="474" spans="1:11" x14ac:dyDescent="0.35">
      <c r="A474" t="s">
        <v>856</v>
      </c>
      <c r="B474" s="1">
        <v>43543</v>
      </c>
      <c r="C474" t="s">
        <v>463</v>
      </c>
      <c r="D474" t="s">
        <v>369</v>
      </c>
      <c r="E474" t="s">
        <v>370</v>
      </c>
      <c r="F474" t="s">
        <v>928</v>
      </c>
      <c r="G474" t="s">
        <v>929</v>
      </c>
      <c r="H474">
        <v>3</v>
      </c>
      <c r="I474" t="s">
        <v>932</v>
      </c>
      <c r="J474" t="s">
        <v>945</v>
      </c>
      <c r="K474" t="s">
        <v>879</v>
      </c>
    </row>
    <row r="475" spans="1:11" x14ac:dyDescent="0.35">
      <c r="A475" t="s">
        <v>349</v>
      </c>
      <c r="B475" s="1">
        <v>43544</v>
      </c>
      <c r="C475" t="s">
        <v>240</v>
      </c>
      <c r="D475" t="s">
        <v>193</v>
      </c>
      <c r="E475" t="s">
        <v>230</v>
      </c>
      <c r="F475" t="s">
        <v>928</v>
      </c>
      <c r="G475" t="s">
        <v>929</v>
      </c>
      <c r="H475">
        <v>3</v>
      </c>
      <c r="I475" t="s">
        <v>932</v>
      </c>
      <c r="J475" t="s">
        <v>945</v>
      </c>
      <c r="K475" t="s">
        <v>879</v>
      </c>
    </row>
    <row r="476" spans="1:11" x14ac:dyDescent="0.35">
      <c r="A476" t="s">
        <v>144</v>
      </c>
      <c r="B476" s="1">
        <v>43545</v>
      </c>
      <c r="C476" t="s">
        <v>18</v>
      </c>
      <c r="D476" t="s">
        <v>7</v>
      </c>
      <c r="E476" t="s">
        <v>8</v>
      </c>
      <c r="F476" t="s">
        <v>928</v>
      </c>
      <c r="G476" t="s">
        <v>929</v>
      </c>
      <c r="H476">
        <v>3</v>
      </c>
      <c r="I476" t="s">
        <v>932</v>
      </c>
      <c r="J476" t="s">
        <v>945</v>
      </c>
      <c r="K476" t="s">
        <v>879</v>
      </c>
    </row>
    <row r="477" spans="1:11" x14ac:dyDescent="0.35">
      <c r="A477" t="s">
        <v>857</v>
      </c>
      <c r="B477" s="1">
        <v>43545</v>
      </c>
      <c r="C477" t="s">
        <v>352</v>
      </c>
      <c r="D477" t="s">
        <v>353</v>
      </c>
      <c r="E477" t="s">
        <v>354</v>
      </c>
      <c r="F477" t="s">
        <v>928</v>
      </c>
      <c r="G477" t="s">
        <v>929</v>
      </c>
      <c r="H477">
        <v>3</v>
      </c>
      <c r="I477" t="s">
        <v>932</v>
      </c>
      <c r="J477" t="s">
        <v>945</v>
      </c>
      <c r="K477" t="s">
        <v>879</v>
      </c>
    </row>
    <row r="478" spans="1:11" x14ac:dyDescent="0.35">
      <c r="A478" t="s">
        <v>226</v>
      </c>
      <c r="B478" s="1">
        <v>43545</v>
      </c>
      <c r="C478" t="s">
        <v>192</v>
      </c>
      <c r="D478" t="s">
        <v>193</v>
      </c>
      <c r="E478" t="s">
        <v>194</v>
      </c>
      <c r="F478" t="s">
        <v>928</v>
      </c>
      <c r="G478" t="s">
        <v>929</v>
      </c>
      <c r="H478">
        <v>3</v>
      </c>
      <c r="I478" t="s">
        <v>932</v>
      </c>
      <c r="J478" t="s">
        <v>945</v>
      </c>
      <c r="K478" t="s">
        <v>879</v>
      </c>
    </row>
    <row r="479" spans="1:11" x14ac:dyDescent="0.35">
      <c r="A479" t="s">
        <v>189</v>
      </c>
      <c r="B479" s="1">
        <v>43545</v>
      </c>
      <c r="C479" t="s">
        <v>147</v>
      </c>
      <c r="D479" t="s">
        <v>7</v>
      </c>
      <c r="E479" t="s">
        <v>148</v>
      </c>
      <c r="F479" t="s">
        <v>928</v>
      </c>
      <c r="G479" t="s">
        <v>929</v>
      </c>
      <c r="H479">
        <v>3</v>
      </c>
      <c r="I479" t="s">
        <v>932</v>
      </c>
      <c r="J479" t="s">
        <v>945</v>
      </c>
      <c r="K479" t="s">
        <v>879</v>
      </c>
    </row>
    <row r="480" spans="1:11" x14ac:dyDescent="0.35">
      <c r="A480" t="s">
        <v>858</v>
      </c>
      <c r="B480" s="1">
        <v>43546</v>
      </c>
      <c r="C480" t="s">
        <v>356</v>
      </c>
      <c r="D480" t="s">
        <v>357</v>
      </c>
      <c r="E480" t="s">
        <v>358</v>
      </c>
      <c r="F480" t="s">
        <v>928</v>
      </c>
      <c r="G480" t="s">
        <v>929</v>
      </c>
      <c r="H480">
        <v>3</v>
      </c>
      <c r="I480" t="s">
        <v>932</v>
      </c>
      <c r="J480" t="s">
        <v>945</v>
      </c>
      <c r="K480" t="s">
        <v>879</v>
      </c>
    </row>
    <row r="481" spans="1:11" x14ac:dyDescent="0.35">
      <c r="A481" t="s">
        <v>859</v>
      </c>
      <c r="B481" s="1">
        <v>43546</v>
      </c>
      <c r="C481" t="s">
        <v>360</v>
      </c>
      <c r="D481" t="s">
        <v>361</v>
      </c>
      <c r="E481" t="s">
        <v>362</v>
      </c>
      <c r="F481" t="s">
        <v>928</v>
      </c>
      <c r="G481" t="s">
        <v>929</v>
      </c>
      <c r="H481">
        <v>3</v>
      </c>
      <c r="I481" t="s">
        <v>932</v>
      </c>
      <c r="J481" t="s">
        <v>945</v>
      </c>
      <c r="K481" t="s">
        <v>879</v>
      </c>
    </row>
    <row r="482" spans="1:11" x14ac:dyDescent="0.35">
      <c r="A482" t="s">
        <v>860</v>
      </c>
      <c r="B482" s="1">
        <v>43546</v>
      </c>
      <c r="C482" t="s">
        <v>364</v>
      </c>
      <c r="D482" t="s">
        <v>365</v>
      </c>
      <c r="E482" t="s">
        <v>366</v>
      </c>
      <c r="F482" t="s">
        <v>928</v>
      </c>
      <c r="G482" t="s">
        <v>929</v>
      </c>
      <c r="H482">
        <v>3</v>
      </c>
      <c r="I482" t="s">
        <v>932</v>
      </c>
      <c r="J482" t="s">
        <v>945</v>
      </c>
      <c r="K482" t="s">
        <v>879</v>
      </c>
    </row>
    <row r="483" spans="1:11" x14ac:dyDescent="0.35">
      <c r="A483" t="s">
        <v>861</v>
      </c>
      <c r="B483" s="1">
        <v>43546</v>
      </c>
      <c r="C483" t="s">
        <v>368</v>
      </c>
      <c r="D483" t="s">
        <v>369</v>
      </c>
      <c r="E483" t="s">
        <v>370</v>
      </c>
      <c r="F483" t="s">
        <v>928</v>
      </c>
      <c r="G483" t="s">
        <v>929</v>
      </c>
      <c r="H483">
        <v>3</v>
      </c>
      <c r="I483" t="s">
        <v>932</v>
      </c>
      <c r="J483" t="s">
        <v>945</v>
      </c>
      <c r="K483" t="s">
        <v>879</v>
      </c>
    </row>
    <row r="484" spans="1:11" x14ac:dyDescent="0.35">
      <c r="A484" t="s">
        <v>862</v>
      </c>
      <c r="B484" s="1">
        <v>43546</v>
      </c>
      <c r="C484" t="s">
        <v>372</v>
      </c>
      <c r="D484" t="s">
        <v>373</v>
      </c>
      <c r="E484" t="s">
        <v>374</v>
      </c>
      <c r="F484" t="s">
        <v>928</v>
      </c>
      <c r="G484" t="s">
        <v>929</v>
      </c>
      <c r="H484">
        <v>3</v>
      </c>
      <c r="I484" t="s">
        <v>932</v>
      </c>
      <c r="J484" t="s">
        <v>945</v>
      </c>
      <c r="K484" t="s">
        <v>947</v>
      </c>
    </row>
    <row r="485" spans="1:11" x14ac:dyDescent="0.35">
      <c r="A485" t="s">
        <v>863</v>
      </c>
      <c r="B485" s="1">
        <v>43547</v>
      </c>
      <c r="C485" t="s">
        <v>376</v>
      </c>
      <c r="D485" t="s">
        <v>377</v>
      </c>
      <c r="E485" t="s">
        <v>378</v>
      </c>
      <c r="F485" t="s">
        <v>928</v>
      </c>
      <c r="G485" t="s">
        <v>929</v>
      </c>
      <c r="H485">
        <v>3</v>
      </c>
      <c r="I485" t="s">
        <v>932</v>
      </c>
      <c r="J485" t="s">
        <v>945</v>
      </c>
      <c r="K485" t="s">
        <v>879</v>
      </c>
    </row>
    <row r="486" spans="1:11" x14ac:dyDescent="0.35">
      <c r="A486" t="s">
        <v>864</v>
      </c>
      <c r="B486" s="1">
        <v>43548</v>
      </c>
      <c r="C486" t="s">
        <v>138</v>
      </c>
      <c r="D486" t="s">
        <v>380</v>
      </c>
      <c r="E486" t="s">
        <v>381</v>
      </c>
      <c r="F486" t="s">
        <v>928</v>
      </c>
      <c r="G486" t="s">
        <v>929</v>
      </c>
      <c r="H486">
        <v>3</v>
      </c>
      <c r="I486" t="s">
        <v>932</v>
      </c>
      <c r="J486" t="s">
        <v>945</v>
      </c>
      <c r="K486" t="s">
        <v>879</v>
      </c>
    </row>
    <row r="487" spans="1:11" x14ac:dyDescent="0.35">
      <c r="A487" t="s">
        <v>865</v>
      </c>
      <c r="B487" s="1">
        <v>43549</v>
      </c>
      <c r="C487" t="s">
        <v>383</v>
      </c>
      <c r="D487" t="s">
        <v>384</v>
      </c>
      <c r="E487" t="s">
        <v>385</v>
      </c>
      <c r="F487" t="s">
        <v>928</v>
      </c>
      <c r="G487" t="s">
        <v>929</v>
      </c>
      <c r="H487">
        <v>3</v>
      </c>
      <c r="I487" t="s">
        <v>932</v>
      </c>
      <c r="J487" t="s">
        <v>945</v>
      </c>
      <c r="K487" t="s">
        <v>947</v>
      </c>
    </row>
    <row r="488" spans="1:11" x14ac:dyDescent="0.35">
      <c r="A488" t="s">
        <v>866</v>
      </c>
      <c r="B488" s="1">
        <v>43550</v>
      </c>
      <c r="C488" t="s">
        <v>387</v>
      </c>
      <c r="D488" t="s">
        <v>388</v>
      </c>
      <c r="E488" t="s">
        <v>389</v>
      </c>
      <c r="F488" t="s">
        <v>928</v>
      </c>
      <c r="G488" t="s">
        <v>929</v>
      </c>
      <c r="H488">
        <v>3</v>
      </c>
      <c r="I488" t="s">
        <v>932</v>
      </c>
      <c r="J488" t="s">
        <v>945</v>
      </c>
      <c r="K488" t="s">
        <v>879</v>
      </c>
    </row>
    <row r="489" spans="1:11" x14ac:dyDescent="0.35">
      <c r="A489" t="s">
        <v>867</v>
      </c>
      <c r="B489" s="1">
        <v>43550</v>
      </c>
      <c r="C489" t="s">
        <v>391</v>
      </c>
      <c r="D489" t="s">
        <v>392</v>
      </c>
      <c r="E489" t="s">
        <v>389</v>
      </c>
      <c r="F489" t="s">
        <v>928</v>
      </c>
      <c r="G489" t="s">
        <v>929</v>
      </c>
      <c r="H489">
        <v>3</v>
      </c>
      <c r="I489" t="s">
        <v>932</v>
      </c>
      <c r="J489" t="s">
        <v>945</v>
      </c>
      <c r="K489" t="s">
        <v>879</v>
      </c>
    </row>
    <row r="490" spans="1:11" x14ac:dyDescent="0.35">
      <c r="A490" t="s">
        <v>868</v>
      </c>
      <c r="B490" s="1">
        <v>43550</v>
      </c>
      <c r="C490" t="s">
        <v>394</v>
      </c>
      <c r="D490" t="s">
        <v>395</v>
      </c>
      <c r="E490" t="s">
        <v>396</v>
      </c>
      <c r="F490" t="s">
        <v>928</v>
      </c>
      <c r="G490" t="s">
        <v>929</v>
      </c>
      <c r="H490">
        <v>3</v>
      </c>
      <c r="I490" t="s">
        <v>932</v>
      </c>
      <c r="J490" t="s">
        <v>945</v>
      </c>
      <c r="K490" t="s">
        <v>879</v>
      </c>
    </row>
    <row r="491" spans="1:11" x14ac:dyDescent="0.35">
      <c r="A491" t="s">
        <v>869</v>
      </c>
      <c r="B491" s="1">
        <v>43550</v>
      </c>
      <c r="C491" t="s">
        <v>398</v>
      </c>
      <c r="D491" t="s">
        <v>399</v>
      </c>
      <c r="E491" t="s">
        <v>400</v>
      </c>
      <c r="F491" t="s">
        <v>928</v>
      </c>
      <c r="G491" t="s">
        <v>929</v>
      </c>
      <c r="H491">
        <v>3</v>
      </c>
      <c r="I491" t="s">
        <v>932</v>
      </c>
      <c r="J491" t="s">
        <v>945</v>
      </c>
      <c r="K491" t="s">
        <v>879</v>
      </c>
    </row>
    <row r="492" spans="1:11" x14ac:dyDescent="0.35">
      <c r="A492" t="s">
        <v>870</v>
      </c>
      <c r="B492" s="1">
        <v>43550</v>
      </c>
      <c r="C492" t="s">
        <v>402</v>
      </c>
      <c r="D492" t="s">
        <v>403</v>
      </c>
      <c r="E492" t="s">
        <v>403</v>
      </c>
      <c r="F492" t="s">
        <v>928</v>
      </c>
      <c r="G492" t="s">
        <v>929</v>
      </c>
      <c r="H492">
        <v>3</v>
      </c>
      <c r="I492" t="s">
        <v>932</v>
      </c>
      <c r="J492" t="s">
        <v>945</v>
      </c>
      <c r="K492" t="s">
        <v>879</v>
      </c>
    </row>
    <row r="493" spans="1:11" x14ac:dyDescent="0.35">
      <c r="A493" t="s">
        <v>871</v>
      </c>
      <c r="B493" s="1">
        <v>43551</v>
      </c>
      <c r="C493" t="s">
        <v>405</v>
      </c>
      <c r="D493" t="s">
        <v>406</v>
      </c>
      <c r="E493" t="s">
        <v>407</v>
      </c>
      <c r="F493" t="s">
        <v>928</v>
      </c>
      <c r="G493" t="s">
        <v>929</v>
      </c>
      <c r="H493">
        <v>3</v>
      </c>
      <c r="I493" t="s">
        <v>932</v>
      </c>
      <c r="J493" t="s">
        <v>945</v>
      </c>
      <c r="K493" t="s">
        <v>879</v>
      </c>
    </row>
    <row r="494" spans="1:11" x14ac:dyDescent="0.35">
      <c r="A494" t="s">
        <v>872</v>
      </c>
      <c r="B494" s="1">
        <v>43551</v>
      </c>
      <c r="C494" t="s">
        <v>409</v>
      </c>
      <c r="D494" t="s">
        <v>410</v>
      </c>
      <c r="E494" t="s">
        <v>411</v>
      </c>
      <c r="F494" t="s">
        <v>928</v>
      </c>
      <c r="G494" t="s">
        <v>929</v>
      </c>
      <c r="H494">
        <v>3</v>
      </c>
      <c r="I494" t="s">
        <v>932</v>
      </c>
      <c r="J494" t="s">
        <v>945</v>
      </c>
      <c r="K494" t="s">
        <v>879</v>
      </c>
    </row>
    <row r="495" spans="1:11" x14ac:dyDescent="0.35">
      <c r="A495" t="s">
        <v>873</v>
      </c>
      <c r="B495" s="1">
        <v>43551</v>
      </c>
      <c r="C495" t="s">
        <v>413</v>
      </c>
      <c r="D495" t="s">
        <v>353</v>
      </c>
      <c r="E495" t="s">
        <v>354</v>
      </c>
      <c r="F495" t="s">
        <v>928</v>
      </c>
      <c r="G495" t="s">
        <v>929</v>
      </c>
      <c r="H495">
        <v>3</v>
      </c>
      <c r="I495" t="s">
        <v>932</v>
      </c>
      <c r="J495" t="s">
        <v>945</v>
      </c>
      <c r="K495" t="s">
        <v>879</v>
      </c>
    </row>
    <row r="496" spans="1:11" x14ac:dyDescent="0.35">
      <c r="A496" t="s">
        <v>227</v>
      </c>
      <c r="B496" s="1">
        <v>43551</v>
      </c>
      <c r="C496" t="s">
        <v>196</v>
      </c>
      <c r="D496" t="s">
        <v>193</v>
      </c>
      <c r="E496" t="s">
        <v>194</v>
      </c>
      <c r="F496" t="s">
        <v>928</v>
      </c>
      <c r="G496" t="s">
        <v>929</v>
      </c>
      <c r="H496">
        <v>3</v>
      </c>
      <c r="I496" t="s">
        <v>932</v>
      </c>
      <c r="J496" t="s">
        <v>945</v>
      </c>
      <c r="K496" t="s">
        <v>879</v>
      </c>
    </row>
    <row r="497" spans="1:11" x14ac:dyDescent="0.35">
      <c r="A497" t="s">
        <v>190</v>
      </c>
      <c r="B497" s="1">
        <v>43551</v>
      </c>
      <c r="C497" t="s">
        <v>150</v>
      </c>
      <c r="D497" t="s">
        <v>7</v>
      </c>
      <c r="E497" t="s">
        <v>148</v>
      </c>
      <c r="F497" t="s">
        <v>928</v>
      </c>
      <c r="G497" t="s">
        <v>929</v>
      </c>
      <c r="H497">
        <v>3</v>
      </c>
      <c r="I497" t="s">
        <v>932</v>
      </c>
      <c r="J497" t="s">
        <v>945</v>
      </c>
      <c r="K497" t="s">
        <v>879</v>
      </c>
    </row>
    <row r="498" spans="1:11" x14ac:dyDescent="0.35">
      <c r="A498" t="s">
        <v>874</v>
      </c>
      <c r="B498" s="1">
        <v>43552</v>
      </c>
      <c r="C498" t="s">
        <v>415</v>
      </c>
      <c r="D498" t="s">
        <v>357</v>
      </c>
      <c r="E498" t="s">
        <v>358</v>
      </c>
      <c r="F498" t="s">
        <v>928</v>
      </c>
      <c r="G498" t="s">
        <v>929</v>
      </c>
      <c r="H498">
        <v>3</v>
      </c>
      <c r="I498" t="s">
        <v>932</v>
      </c>
      <c r="J498" t="s">
        <v>945</v>
      </c>
      <c r="K498" t="s">
        <v>879</v>
      </c>
    </row>
    <row r="499" spans="1:11" x14ac:dyDescent="0.35">
      <c r="A499" t="s">
        <v>875</v>
      </c>
      <c r="B499" s="1">
        <v>43552</v>
      </c>
      <c r="C499" t="s">
        <v>417</v>
      </c>
      <c r="D499" t="s">
        <v>361</v>
      </c>
      <c r="E499" t="s">
        <v>362</v>
      </c>
      <c r="F499" t="s">
        <v>928</v>
      </c>
      <c r="G499" t="s">
        <v>929</v>
      </c>
      <c r="H499">
        <v>3</v>
      </c>
      <c r="I499" t="s">
        <v>932</v>
      </c>
      <c r="J499" t="s">
        <v>945</v>
      </c>
      <c r="K499" t="s">
        <v>879</v>
      </c>
    </row>
    <row r="500" spans="1:11" x14ac:dyDescent="0.35">
      <c r="A500" t="s">
        <v>876</v>
      </c>
      <c r="B500" s="1">
        <v>43552</v>
      </c>
      <c r="C500" t="s">
        <v>419</v>
      </c>
      <c r="D500" t="s">
        <v>365</v>
      </c>
      <c r="E500" t="s">
        <v>366</v>
      </c>
      <c r="F500" t="s">
        <v>928</v>
      </c>
      <c r="G500" t="s">
        <v>929</v>
      </c>
      <c r="H500">
        <v>3</v>
      </c>
      <c r="I500" t="s">
        <v>932</v>
      </c>
      <c r="J500" t="s">
        <v>945</v>
      </c>
      <c r="K500" t="s">
        <v>947</v>
      </c>
    </row>
    <row r="501" spans="1:11" x14ac:dyDescent="0.35">
      <c r="A501" t="s">
        <v>877</v>
      </c>
      <c r="B501" s="1">
        <v>43553</v>
      </c>
      <c r="C501" t="s">
        <v>421</v>
      </c>
      <c r="D501" t="s">
        <v>369</v>
      </c>
      <c r="E501" t="s">
        <v>370</v>
      </c>
      <c r="F501" t="s">
        <v>928</v>
      </c>
      <c r="G501" t="s">
        <v>929</v>
      </c>
      <c r="H501">
        <v>3</v>
      </c>
      <c r="I501" t="s">
        <v>932</v>
      </c>
      <c r="J501" t="s">
        <v>945</v>
      </c>
      <c r="K501" t="s">
        <v>879</v>
      </c>
    </row>
    <row r="502" spans="1:11" x14ac:dyDescent="0.35">
      <c r="A502" t="s">
        <v>350</v>
      </c>
      <c r="B502" s="1">
        <v>43554</v>
      </c>
      <c r="C502" t="s">
        <v>229</v>
      </c>
      <c r="D502" t="s">
        <v>193</v>
      </c>
      <c r="E502" t="s">
        <v>230</v>
      </c>
      <c r="F502" t="s">
        <v>928</v>
      </c>
      <c r="G502" t="s">
        <v>929</v>
      </c>
      <c r="H502">
        <v>3</v>
      </c>
      <c r="I502" t="s">
        <v>932</v>
      </c>
      <c r="J502" t="s">
        <v>945</v>
      </c>
      <c r="K502" t="s">
        <v>879</v>
      </c>
    </row>
    <row r="503" spans="1:11" x14ac:dyDescent="0.35">
      <c r="A503" t="s">
        <v>145</v>
      </c>
      <c r="B503" s="1">
        <v>43555</v>
      </c>
      <c r="C503" t="s">
        <v>6</v>
      </c>
      <c r="D503" t="s">
        <v>7</v>
      </c>
      <c r="E503" t="s">
        <v>8</v>
      </c>
      <c r="F503" t="s">
        <v>928</v>
      </c>
      <c r="G503" t="s">
        <v>929</v>
      </c>
      <c r="H503">
        <v>3</v>
      </c>
      <c r="I503" t="s">
        <v>932</v>
      </c>
      <c r="J503" t="s">
        <v>945</v>
      </c>
      <c r="K503" t="s">
        <v>879</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D8890-FE1F-4D0B-BEF7-B4DC1A781289}">
  <dimension ref="B3:G1503"/>
  <sheetViews>
    <sheetView workbookViewId="0">
      <selection activeCell="C4" sqref="C4:C213"/>
    </sheetView>
  </sheetViews>
  <sheetFormatPr defaultRowHeight="14.5" x14ac:dyDescent="0.35"/>
  <cols>
    <col min="2" max="2" width="9.75" bestFit="1" customWidth="1"/>
    <col min="3" max="3" width="9.58203125" bestFit="1" customWidth="1"/>
    <col min="4" max="4" width="7.4140625" bestFit="1" customWidth="1"/>
    <col min="5" max="5" width="10.08203125" bestFit="1" customWidth="1"/>
    <col min="6" max="6" width="10.4140625" bestFit="1" customWidth="1"/>
    <col min="7" max="7" width="15.08203125" bestFit="1" customWidth="1"/>
  </cols>
  <sheetData>
    <row r="3" spans="2:7" x14ac:dyDescent="0.35">
      <c r="B3" t="s">
        <v>0</v>
      </c>
      <c r="C3" t="s">
        <v>878</v>
      </c>
      <c r="D3" t="s">
        <v>879</v>
      </c>
      <c r="E3" t="s">
        <v>880</v>
      </c>
      <c r="F3" t="s">
        <v>881</v>
      </c>
      <c r="G3" t="s">
        <v>882</v>
      </c>
    </row>
    <row r="4" spans="2:7" x14ac:dyDescent="0.35">
      <c r="B4" t="s">
        <v>191</v>
      </c>
      <c r="C4">
        <v>561</v>
      </c>
      <c r="D4">
        <v>212</v>
      </c>
      <c r="E4">
        <v>3</v>
      </c>
      <c r="F4" t="s">
        <v>883</v>
      </c>
      <c r="G4" t="s">
        <v>884</v>
      </c>
    </row>
    <row r="5" spans="2:7" x14ac:dyDescent="0.35">
      <c r="B5" t="s">
        <v>191</v>
      </c>
      <c r="C5">
        <v>119</v>
      </c>
      <c r="D5">
        <v>-5</v>
      </c>
      <c r="E5">
        <v>8</v>
      </c>
      <c r="F5" t="s">
        <v>883</v>
      </c>
      <c r="G5" t="s">
        <v>884</v>
      </c>
    </row>
    <row r="6" spans="2:7" x14ac:dyDescent="0.35">
      <c r="B6" t="s">
        <v>146</v>
      </c>
      <c r="C6">
        <v>193</v>
      </c>
      <c r="D6">
        <v>-166</v>
      </c>
      <c r="E6">
        <v>3</v>
      </c>
      <c r="F6" t="s">
        <v>883</v>
      </c>
      <c r="G6" t="s">
        <v>884</v>
      </c>
    </row>
    <row r="7" spans="2:7" x14ac:dyDescent="0.35">
      <c r="B7" t="s">
        <v>355</v>
      </c>
      <c r="C7">
        <v>157</v>
      </c>
      <c r="D7">
        <v>5</v>
      </c>
      <c r="E7">
        <v>9</v>
      </c>
      <c r="F7" t="s">
        <v>883</v>
      </c>
      <c r="G7" t="s">
        <v>884</v>
      </c>
    </row>
    <row r="8" spans="2:7" x14ac:dyDescent="0.35">
      <c r="B8" t="s">
        <v>359</v>
      </c>
      <c r="C8">
        <v>75</v>
      </c>
      <c r="D8">
        <v>0</v>
      </c>
      <c r="E8">
        <v>7</v>
      </c>
      <c r="F8" t="s">
        <v>883</v>
      </c>
      <c r="G8" t="s">
        <v>884</v>
      </c>
    </row>
    <row r="9" spans="2:7" x14ac:dyDescent="0.35">
      <c r="B9" t="s">
        <v>375</v>
      </c>
      <c r="C9">
        <v>25</v>
      </c>
      <c r="D9">
        <v>-5</v>
      </c>
      <c r="E9">
        <v>4</v>
      </c>
      <c r="F9" t="s">
        <v>883</v>
      </c>
      <c r="G9" t="s">
        <v>884</v>
      </c>
    </row>
    <row r="10" spans="2:7" x14ac:dyDescent="0.35">
      <c r="B10" t="s">
        <v>379</v>
      </c>
      <c r="C10">
        <v>43</v>
      </c>
      <c r="D10">
        <v>0</v>
      </c>
      <c r="E10">
        <v>3</v>
      </c>
      <c r="F10" t="s">
        <v>883</v>
      </c>
      <c r="G10" t="s">
        <v>884</v>
      </c>
    </row>
    <row r="11" spans="2:7" x14ac:dyDescent="0.35">
      <c r="B11" t="s">
        <v>382</v>
      </c>
      <c r="C11">
        <v>160</v>
      </c>
      <c r="D11">
        <v>-59</v>
      </c>
      <c r="E11">
        <v>2</v>
      </c>
      <c r="F11" t="s">
        <v>883</v>
      </c>
      <c r="G11" t="s">
        <v>884</v>
      </c>
    </row>
    <row r="12" spans="2:7" x14ac:dyDescent="0.35">
      <c r="B12" t="s">
        <v>390</v>
      </c>
      <c r="C12">
        <v>1603</v>
      </c>
      <c r="D12">
        <v>0</v>
      </c>
      <c r="E12">
        <v>9</v>
      </c>
      <c r="F12" t="s">
        <v>883</v>
      </c>
      <c r="G12" t="s">
        <v>884</v>
      </c>
    </row>
    <row r="13" spans="2:7" x14ac:dyDescent="0.35">
      <c r="B13" t="s">
        <v>412</v>
      </c>
      <c r="C13">
        <v>353</v>
      </c>
      <c r="D13">
        <v>90</v>
      </c>
      <c r="E13">
        <v>8</v>
      </c>
      <c r="F13" t="s">
        <v>883</v>
      </c>
      <c r="G13" t="s">
        <v>884</v>
      </c>
    </row>
    <row r="14" spans="2:7" x14ac:dyDescent="0.35">
      <c r="B14" t="s">
        <v>414</v>
      </c>
      <c r="C14">
        <v>534</v>
      </c>
      <c r="D14">
        <v>0</v>
      </c>
      <c r="E14">
        <v>3</v>
      </c>
      <c r="F14" t="s">
        <v>883</v>
      </c>
      <c r="G14" t="s">
        <v>884</v>
      </c>
    </row>
    <row r="15" spans="2:7" x14ac:dyDescent="0.35">
      <c r="B15" t="s">
        <v>416</v>
      </c>
      <c r="C15">
        <v>149</v>
      </c>
      <c r="D15">
        <v>-87</v>
      </c>
      <c r="E15">
        <v>4</v>
      </c>
      <c r="F15" t="s">
        <v>883</v>
      </c>
      <c r="G15" t="s">
        <v>884</v>
      </c>
    </row>
    <row r="16" spans="2:7" x14ac:dyDescent="0.35">
      <c r="B16" t="s">
        <v>420</v>
      </c>
      <c r="C16">
        <v>635</v>
      </c>
      <c r="D16">
        <v>-349</v>
      </c>
      <c r="E16">
        <v>5</v>
      </c>
      <c r="F16" t="s">
        <v>883</v>
      </c>
      <c r="G16" t="s">
        <v>884</v>
      </c>
    </row>
    <row r="17" spans="2:7" x14ac:dyDescent="0.35">
      <c r="B17" t="s">
        <v>422</v>
      </c>
      <c r="C17">
        <v>24</v>
      </c>
      <c r="D17">
        <v>-9</v>
      </c>
      <c r="E17">
        <v>4</v>
      </c>
      <c r="F17" t="s">
        <v>883</v>
      </c>
      <c r="G17" t="s">
        <v>884</v>
      </c>
    </row>
    <row r="18" spans="2:7" x14ac:dyDescent="0.35">
      <c r="B18" t="s">
        <v>432</v>
      </c>
      <c r="C18">
        <v>711</v>
      </c>
      <c r="D18">
        <v>-8</v>
      </c>
      <c r="E18">
        <v>4</v>
      </c>
      <c r="F18" t="s">
        <v>883</v>
      </c>
      <c r="G18" t="s">
        <v>884</v>
      </c>
    </row>
    <row r="19" spans="2:7" x14ac:dyDescent="0.35">
      <c r="B19" t="s">
        <v>435</v>
      </c>
      <c r="C19">
        <v>382</v>
      </c>
      <c r="D19">
        <v>30</v>
      </c>
      <c r="E19">
        <v>3</v>
      </c>
      <c r="F19" t="s">
        <v>883</v>
      </c>
      <c r="G19" t="s">
        <v>884</v>
      </c>
    </row>
    <row r="20" spans="2:7" x14ac:dyDescent="0.35">
      <c r="B20" t="s">
        <v>231</v>
      </c>
      <c r="C20">
        <v>637</v>
      </c>
      <c r="D20">
        <v>113</v>
      </c>
      <c r="E20">
        <v>5</v>
      </c>
      <c r="F20" t="s">
        <v>883</v>
      </c>
      <c r="G20" t="s">
        <v>884</v>
      </c>
    </row>
    <row r="21" spans="2:7" x14ac:dyDescent="0.35">
      <c r="B21" t="s">
        <v>437</v>
      </c>
      <c r="C21">
        <v>122</v>
      </c>
      <c r="D21">
        <v>-47</v>
      </c>
      <c r="E21">
        <v>4</v>
      </c>
      <c r="F21" t="s">
        <v>883</v>
      </c>
      <c r="G21" t="s">
        <v>884</v>
      </c>
    </row>
    <row r="22" spans="2:7" x14ac:dyDescent="0.35">
      <c r="B22" t="s">
        <v>445</v>
      </c>
      <c r="C22">
        <v>20</v>
      </c>
      <c r="D22">
        <v>-8</v>
      </c>
      <c r="E22">
        <v>2</v>
      </c>
      <c r="F22" t="s">
        <v>883</v>
      </c>
      <c r="G22" t="s">
        <v>884</v>
      </c>
    </row>
    <row r="23" spans="2:7" x14ac:dyDescent="0.35">
      <c r="B23" t="s">
        <v>447</v>
      </c>
      <c r="C23">
        <v>42</v>
      </c>
      <c r="D23">
        <v>-6</v>
      </c>
      <c r="E23">
        <v>4</v>
      </c>
      <c r="F23" t="s">
        <v>883</v>
      </c>
      <c r="G23" t="s">
        <v>884</v>
      </c>
    </row>
    <row r="24" spans="2:7" x14ac:dyDescent="0.35">
      <c r="B24" t="s">
        <v>449</v>
      </c>
      <c r="C24">
        <v>55</v>
      </c>
      <c r="D24">
        <v>-26</v>
      </c>
      <c r="E24">
        <v>4</v>
      </c>
      <c r="F24" t="s">
        <v>883</v>
      </c>
      <c r="G24" t="s">
        <v>884</v>
      </c>
    </row>
    <row r="25" spans="2:7" x14ac:dyDescent="0.35">
      <c r="B25" t="s">
        <v>449</v>
      </c>
      <c r="C25">
        <v>130</v>
      </c>
      <c r="D25">
        <v>-41</v>
      </c>
      <c r="E25">
        <v>4</v>
      </c>
      <c r="F25" t="s">
        <v>883</v>
      </c>
      <c r="G25" t="s">
        <v>884</v>
      </c>
    </row>
    <row r="26" spans="2:7" x14ac:dyDescent="0.35">
      <c r="B26" t="s">
        <v>235</v>
      </c>
      <c r="C26">
        <v>211</v>
      </c>
      <c r="D26">
        <v>-105</v>
      </c>
      <c r="E26">
        <v>2</v>
      </c>
      <c r="F26" t="s">
        <v>883</v>
      </c>
      <c r="G26" t="s">
        <v>884</v>
      </c>
    </row>
    <row r="27" spans="2:7" x14ac:dyDescent="0.35">
      <c r="B27" t="s">
        <v>235</v>
      </c>
      <c r="C27">
        <v>31</v>
      </c>
      <c r="D27">
        <v>-2</v>
      </c>
      <c r="E27">
        <v>2</v>
      </c>
      <c r="F27" t="s">
        <v>883</v>
      </c>
      <c r="G27" t="s">
        <v>884</v>
      </c>
    </row>
    <row r="28" spans="2:7" x14ac:dyDescent="0.35">
      <c r="B28" t="s">
        <v>235</v>
      </c>
      <c r="C28">
        <v>512</v>
      </c>
      <c r="D28">
        <v>-225</v>
      </c>
      <c r="E28">
        <v>5</v>
      </c>
      <c r="F28" t="s">
        <v>883</v>
      </c>
      <c r="G28" t="s">
        <v>884</v>
      </c>
    </row>
    <row r="29" spans="2:7" x14ac:dyDescent="0.35">
      <c r="B29" t="s">
        <v>235</v>
      </c>
      <c r="C29">
        <v>238</v>
      </c>
      <c r="D29">
        <v>20</v>
      </c>
      <c r="E29">
        <v>2</v>
      </c>
      <c r="F29" t="s">
        <v>883</v>
      </c>
      <c r="G29" t="s">
        <v>884</v>
      </c>
    </row>
    <row r="30" spans="2:7" x14ac:dyDescent="0.35">
      <c r="B30" t="s">
        <v>13</v>
      </c>
      <c r="C30">
        <v>23</v>
      </c>
      <c r="D30">
        <v>4</v>
      </c>
      <c r="E30">
        <v>1</v>
      </c>
      <c r="F30" t="s">
        <v>883</v>
      </c>
      <c r="G30" t="s">
        <v>884</v>
      </c>
    </row>
    <row r="31" spans="2:7" x14ac:dyDescent="0.35">
      <c r="B31" t="s">
        <v>13</v>
      </c>
      <c r="C31">
        <v>457</v>
      </c>
      <c r="D31">
        <v>-41</v>
      </c>
      <c r="E31">
        <v>4</v>
      </c>
      <c r="F31" t="s">
        <v>883</v>
      </c>
      <c r="G31" t="s">
        <v>884</v>
      </c>
    </row>
    <row r="32" spans="2:7" x14ac:dyDescent="0.35">
      <c r="B32" t="s">
        <v>453</v>
      </c>
      <c r="C32">
        <v>206</v>
      </c>
      <c r="D32">
        <v>-206</v>
      </c>
      <c r="E32">
        <v>3</v>
      </c>
      <c r="F32" t="s">
        <v>883</v>
      </c>
      <c r="G32" t="s">
        <v>884</v>
      </c>
    </row>
    <row r="33" spans="2:7" x14ac:dyDescent="0.35">
      <c r="B33" t="s">
        <v>455</v>
      </c>
      <c r="C33">
        <v>28</v>
      </c>
      <c r="D33">
        <v>-3</v>
      </c>
      <c r="E33">
        <v>2</v>
      </c>
      <c r="F33" t="s">
        <v>883</v>
      </c>
      <c r="G33" t="s">
        <v>884</v>
      </c>
    </row>
    <row r="34" spans="2:7" x14ac:dyDescent="0.35">
      <c r="B34" t="s">
        <v>237</v>
      </c>
      <c r="C34">
        <v>229</v>
      </c>
      <c r="D34">
        <v>-23</v>
      </c>
      <c r="E34">
        <v>2</v>
      </c>
      <c r="F34" t="s">
        <v>883</v>
      </c>
      <c r="G34" t="s">
        <v>884</v>
      </c>
    </row>
    <row r="35" spans="2:7" x14ac:dyDescent="0.35">
      <c r="B35" t="s">
        <v>237</v>
      </c>
      <c r="C35">
        <v>54</v>
      </c>
      <c r="D35">
        <v>-3</v>
      </c>
      <c r="E35">
        <v>3</v>
      </c>
      <c r="F35" t="s">
        <v>883</v>
      </c>
      <c r="G35" t="s">
        <v>884</v>
      </c>
    </row>
    <row r="36" spans="2:7" x14ac:dyDescent="0.35">
      <c r="B36" t="s">
        <v>15</v>
      </c>
      <c r="C36">
        <v>396</v>
      </c>
      <c r="D36">
        <v>-31</v>
      </c>
      <c r="E36">
        <v>9</v>
      </c>
      <c r="F36" t="s">
        <v>883</v>
      </c>
      <c r="G36" t="s">
        <v>884</v>
      </c>
    </row>
    <row r="37" spans="2:7" x14ac:dyDescent="0.35">
      <c r="B37" t="s">
        <v>15</v>
      </c>
      <c r="C37">
        <v>110</v>
      </c>
      <c r="D37">
        <v>-68</v>
      </c>
      <c r="E37">
        <v>4</v>
      </c>
      <c r="F37" t="s">
        <v>883</v>
      </c>
      <c r="G37" t="s">
        <v>884</v>
      </c>
    </row>
    <row r="38" spans="2:7" x14ac:dyDescent="0.35">
      <c r="B38" t="s">
        <v>199</v>
      </c>
      <c r="C38">
        <v>534</v>
      </c>
      <c r="D38">
        <v>0</v>
      </c>
      <c r="E38">
        <v>3</v>
      </c>
      <c r="F38" t="s">
        <v>883</v>
      </c>
      <c r="G38" t="s">
        <v>884</v>
      </c>
    </row>
    <row r="39" spans="2:7" x14ac:dyDescent="0.35">
      <c r="B39" t="s">
        <v>199</v>
      </c>
      <c r="C39">
        <v>61</v>
      </c>
      <c r="D39">
        <v>-23</v>
      </c>
      <c r="E39">
        <v>2</v>
      </c>
      <c r="F39" t="s">
        <v>883</v>
      </c>
      <c r="G39" t="s">
        <v>884</v>
      </c>
    </row>
    <row r="40" spans="2:7" x14ac:dyDescent="0.35">
      <c r="B40" t="s">
        <v>199</v>
      </c>
      <c r="C40">
        <v>406</v>
      </c>
      <c r="D40">
        <v>126</v>
      </c>
      <c r="E40">
        <v>2</v>
      </c>
      <c r="F40" t="s">
        <v>883</v>
      </c>
      <c r="G40" t="s">
        <v>884</v>
      </c>
    </row>
    <row r="41" spans="2:7" x14ac:dyDescent="0.35">
      <c r="B41" t="s">
        <v>199</v>
      </c>
      <c r="C41">
        <v>1389</v>
      </c>
      <c r="D41">
        <v>680</v>
      </c>
      <c r="E41">
        <v>7</v>
      </c>
      <c r="F41" t="s">
        <v>883</v>
      </c>
      <c r="G41" t="s">
        <v>884</v>
      </c>
    </row>
    <row r="42" spans="2:7" x14ac:dyDescent="0.35">
      <c r="B42" t="s">
        <v>153</v>
      </c>
      <c r="C42">
        <v>32</v>
      </c>
      <c r="D42">
        <v>-22</v>
      </c>
      <c r="E42">
        <v>5</v>
      </c>
      <c r="F42" t="s">
        <v>883</v>
      </c>
      <c r="G42" t="s">
        <v>884</v>
      </c>
    </row>
    <row r="43" spans="2:7" x14ac:dyDescent="0.35">
      <c r="B43" t="s">
        <v>461</v>
      </c>
      <c r="C43">
        <v>245</v>
      </c>
      <c r="D43">
        <v>-78</v>
      </c>
      <c r="E43">
        <v>3</v>
      </c>
      <c r="F43" t="s">
        <v>883</v>
      </c>
      <c r="G43" t="s">
        <v>884</v>
      </c>
    </row>
    <row r="44" spans="2:7" x14ac:dyDescent="0.35">
      <c r="B44" t="s">
        <v>470</v>
      </c>
      <c r="C44">
        <v>344</v>
      </c>
      <c r="D44">
        <v>-34</v>
      </c>
      <c r="E44">
        <v>3</v>
      </c>
      <c r="F44" t="s">
        <v>883</v>
      </c>
      <c r="G44" t="s">
        <v>884</v>
      </c>
    </row>
    <row r="45" spans="2:7" x14ac:dyDescent="0.35">
      <c r="B45" t="s">
        <v>479</v>
      </c>
      <c r="C45">
        <v>143</v>
      </c>
      <c r="D45">
        <v>-124</v>
      </c>
      <c r="E45">
        <v>5</v>
      </c>
      <c r="F45" t="s">
        <v>883</v>
      </c>
      <c r="G45" t="s">
        <v>884</v>
      </c>
    </row>
    <row r="46" spans="2:7" x14ac:dyDescent="0.35">
      <c r="B46" t="s">
        <v>479</v>
      </c>
      <c r="C46">
        <v>44</v>
      </c>
      <c r="D46">
        <v>-17</v>
      </c>
      <c r="E46">
        <v>5</v>
      </c>
      <c r="F46" t="s">
        <v>883</v>
      </c>
      <c r="G46" t="s">
        <v>884</v>
      </c>
    </row>
    <row r="47" spans="2:7" x14ac:dyDescent="0.35">
      <c r="B47" t="s">
        <v>479</v>
      </c>
      <c r="C47">
        <v>16</v>
      </c>
      <c r="D47">
        <v>-1</v>
      </c>
      <c r="E47">
        <v>1</v>
      </c>
      <c r="F47" t="s">
        <v>883</v>
      </c>
      <c r="G47" t="s">
        <v>884</v>
      </c>
    </row>
    <row r="48" spans="2:7" x14ac:dyDescent="0.35">
      <c r="B48" t="s">
        <v>155</v>
      </c>
      <c r="C48">
        <v>929</v>
      </c>
      <c r="D48">
        <v>-93</v>
      </c>
      <c r="E48">
        <v>9</v>
      </c>
      <c r="F48" t="s">
        <v>883</v>
      </c>
      <c r="G48" t="s">
        <v>884</v>
      </c>
    </row>
    <row r="49" spans="2:7" x14ac:dyDescent="0.35">
      <c r="B49" t="s">
        <v>484</v>
      </c>
      <c r="C49">
        <v>64</v>
      </c>
      <c r="D49">
        <v>-7</v>
      </c>
      <c r="E49">
        <v>3</v>
      </c>
      <c r="F49" t="s">
        <v>883</v>
      </c>
      <c r="G49" t="s">
        <v>884</v>
      </c>
    </row>
    <row r="50" spans="2:7" x14ac:dyDescent="0.35">
      <c r="B50" t="s">
        <v>241</v>
      </c>
      <c r="C50">
        <v>76</v>
      </c>
      <c r="D50">
        <v>-50</v>
      </c>
      <c r="E50">
        <v>1</v>
      </c>
      <c r="F50" t="s">
        <v>883</v>
      </c>
      <c r="G50" t="s">
        <v>884</v>
      </c>
    </row>
    <row r="51" spans="2:7" x14ac:dyDescent="0.35">
      <c r="B51" t="s">
        <v>19</v>
      </c>
      <c r="C51">
        <v>73</v>
      </c>
      <c r="D51">
        <v>-25</v>
      </c>
      <c r="E51">
        <v>3</v>
      </c>
      <c r="F51" t="s">
        <v>883</v>
      </c>
      <c r="G51" t="s">
        <v>884</v>
      </c>
    </row>
    <row r="52" spans="2:7" x14ac:dyDescent="0.35">
      <c r="B52" t="s">
        <v>21</v>
      </c>
      <c r="C52">
        <v>44</v>
      </c>
      <c r="D52">
        <v>-3</v>
      </c>
      <c r="E52">
        <v>1</v>
      </c>
      <c r="F52" t="s">
        <v>883</v>
      </c>
      <c r="G52" t="s">
        <v>884</v>
      </c>
    </row>
    <row r="53" spans="2:7" x14ac:dyDescent="0.35">
      <c r="B53" t="s">
        <v>488</v>
      </c>
      <c r="C53">
        <v>86</v>
      </c>
      <c r="D53">
        <v>-55</v>
      </c>
      <c r="E53">
        <v>6</v>
      </c>
      <c r="F53" t="s">
        <v>883</v>
      </c>
      <c r="G53" t="s">
        <v>884</v>
      </c>
    </row>
    <row r="54" spans="2:7" x14ac:dyDescent="0.35">
      <c r="B54" t="s">
        <v>489</v>
      </c>
      <c r="C54">
        <v>381</v>
      </c>
      <c r="D54">
        <v>-13</v>
      </c>
      <c r="E54">
        <v>2</v>
      </c>
      <c r="F54" t="s">
        <v>883</v>
      </c>
      <c r="G54" t="s">
        <v>884</v>
      </c>
    </row>
    <row r="55" spans="2:7" x14ac:dyDescent="0.35">
      <c r="B55" t="s">
        <v>245</v>
      </c>
      <c r="C55">
        <v>357</v>
      </c>
      <c r="D55">
        <v>139</v>
      </c>
      <c r="E55">
        <v>2</v>
      </c>
      <c r="F55" t="s">
        <v>883</v>
      </c>
      <c r="G55" t="s">
        <v>884</v>
      </c>
    </row>
    <row r="56" spans="2:7" x14ac:dyDescent="0.35">
      <c r="B56" t="s">
        <v>245</v>
      </c>
      <c r="C56">
        <v>387</v>
      </c>
      <c r="D56">
        <v>-213</v>
      </c>
      <c r="E56">
        <v>5</v>
      </c>
      <c r="F56" t="s">
        <v>883</v>
      </c>
      <c r="G56" t="s">
        <v>884</v>
      </c>
    </row>
    <row r="57" spans="2:7" x14ac:dyDescent="0.35">
      <c r="B57" t="s">
        <v>25</v>
      </c>
      <c r="C57">
        <v>352</v>
      </c>
      <c r="D57">
        <v>-345</v>
      </c>
      <c r="E57">
        <v>5</v>
      </c>
      <c r="F57" t="s">
        <v>883</v>
      </c>
      <c r="G57" t="s">
        <v>884</v>
      </c>
    </row>
    <row r="58" spans="2:7" x14ac:dyDescent="0.35">
      <c r="B58" t="s">
        <v>249</v>
      </c>
      <c r="C58">
        <v>714</v>
      </c>
      <c r="D58">
        <v>56</v>
      </c>
      <c r="E58">
        <v>4</v>
      </c>
      <c r="F58" t="s">
        <v>883</v>
      </c>
      <c r="G58" t="s">
        <v>884</v>
      </c>
    </row>
    <row r="59" spans="2:7" x14ac:dyDescent="0.35">
      <c r="B59" t="s">
        <v>157</v>
      </c>
      <c r="C59">
        <v>632</v>
      </c>
      <c r="D59">
        <v>-316</v>
      </c>
      <c r="E59">
        <v>6</v>
      </c>
      <c r="F59" t="s">
        <v>883</v>
      </c>
      <c r="G59" t="s">
        <v>884</v>
      </c>
    </row>
    <row r="60" spans="2:7" x14ac:dyDescent="0.35">
      <c r="B60" t="s">
        <v>157</v>
      </c>
      <c r="C60">
        <v>32</v>
      </c>
      <c r="D60">
        <v>-16</v>
      </c>
      <c r="E60">
        <v>6</v>
      </c>
      <c r="F60" t="s">
        <v>883</v>
      </c>
      <c r="G60" t="s">
        <v>884</v>
      </c>
    </row>
    <row r="61" spans="2:7" x14ac:dyDescent="0.35">
      <c r="B61" t="s">
        <v>494</v>
      </c>
      <c r="C61">
        <v>116</v>
      </c>
      <c r="D61">
        <v>-4</v>
      </c>
      <c r="E61">
        <v>1</v>
      </c>
      <c r="F61" t="s">
        <v>883</v>
      </c>
      <c r="G61" t="s">
        <v>884</v>
      </c>
    </row>
    <row r="62" spans="2:7" x14ac:dyDescent="0.35">
      <c r="B62" t="s">
        <v>494</v>
      </c>
      <c r="C62">
        <v>275</v>
      </c>
      <c r="D62">
        <v>-275</v>
      </c>
      <c r="E62">
        <v>4</v>
      </c>
      <c r="F62" t="s">
        <v>883</v>
      </c>
      <c r="G62" t="s">
        <v>884</v>
      </c>
    </row>
    <row r="63" spans="2:7" x14ac:dyDescent="0.35">
      <c r="B63" t="s">
        <v>494</v>
      </c>
      <c r="C63">
        <v>168</v>
      </c>
      <c r="D63">
        <v>-9</v>
      </c>
      <c r="E63">
        <v>3</v>
      </c>
      <c r="F63" t="s">
        <v>883</v>
      </c>
      <c r="G63" t="s">
        <v>884</v>
      </c>
    </row>
    <row r="64" spans="2:7" x14ac:dyDescent="0.35">
      <c r="B64" t="s">
        <v>498</v>
      </c>
      <c r="C64">
        <v>207</v>
      </c>
      <c r="D64">
        <v>-153</v>
      </c>
      <c r="E64">
        <v>3</v>
      </c>
      <c r="F64" t="s">
        <v>883</v>
      </c>
      <c r="G64" t="s">
        <v>884</v>
      </c>
    </row>
    <row r="65" spans="2:7" x14ac:dyDescent="0.35">
      <c r="B65" t="s">
        <v>253</v>
      </c>
      <c r="C65">
        <v>31</v>
      </c>
      <c r="D65">
        <v>-3</v>
      </c>
      <c r="E65">
        <v>4</v>
      </c>
      <c r="F65" t="s">
        <v>883</v>
      </c>
      <c r="G65" t="s">
        <v>884</v>
      </c>
    </row>
    <row r="66" spans="2:7" x14ac:dyDescent="0.35">
      <c r="B66" t="s">
        <v>253</v>
      </c>
      <c r="C66">
        <v>306</v>
      </c>
      <c r="D66">
        <v>-147</v>
      </c>
      <c r="E66">
        <v>3</v>
      </c>
      <c r="F66" t="s">
        <v>883</v>
      </c>
      <c r="G66" t="s">
        <v>884</v>
      </c>
    </row>
    <row r="67" spans="2:7" x14ac:dyDescent="0.35">
      <c r="B67" t="s">
        <v>33</v>
      </c>
      <c r="C67">
        <v>97</v>
      </c>
      <c r="D67">
        <v>-45</v>
      </c>
      <c r="E67">
        <v>4</v>
      </c>
      <c r="F67" t="s">
        <v>883</v>
      </c>
      <c r="G67" t="s">
        <v>884</v>
      </c>
    </row>
    <row r="68" spans="2:7" x14ac:dyDescent="0.35">
      <c r="B68" t="s">
        <v>33</v>
      </c>
      <c r="C68">
        <v>47</v>
      </c>
      <c r="D68">
        <v>-27</v>
      </c>
      <c r="E68">
        <v>4</v>
      </c>
      <c r="F68" t="s">
        <v>883</v>
      </c>
      <c r="G68" t="s">
        <v>884</v>
      </c>
    </row>
    <row r="69" spans="2:7" x14ac:dyDescent="0.35">
      <c r="B69" t="s">
        <v>39</v>
      </c>
      <c r="C69">
        <v>33</v>
      </c>
      <c r="D69">
        <v>-12</v>
      </c>
      <c r="E69">
        <v>7</v>
      </c>
      <c r="F69" t="s">
        <v>883</v>
      </c>
      <c r="G69" t="s">
        <v>884</v>
      </c>
    </row>
    <row r="70" spans="2:7" x14ac:dyDescent="0.35">
      <c r="B70" t="s">
        <v>512</v>
      </c>
      <c r="C70">
        <v>58</v>
      </c>
      <c r="D70">
        <v>0</v>
      </c>
      <c r="E70">
        <v>4</v>
      </c>
      <c r="F70" t="s">
        <v>883</v>
      </c>
      <c r="G70" t="s">
        <v>884</v>
      </c>
    </row>
    <row r="71" spans="2:7" x14ac:dyDescent="0.35">
      <c r="B71" t="s">
        <v>513</v>
      </c>
      <c r="C71">
        <v>561</v>
      </c>
      <c r="D71">
        <v>212</v>
      </c>
      <c r="E71">
        <v>3</v>
      </c>
      <c r="F71" t="s">
        <v>883</v>
      </c>
      <c r="G71" t="s">
        <v>884</v>
      </c>
    </row>
    <row r="72" spans="2:7" x14ac:dyDescent="0.35">
      <c r="B72" t="s">
        <v>513</v>
      </c>
      <c r="C72">
        <v>138</v>
      </c>
      <c r="D72">
        <v>-3</v>
      </c>
      <c r="E72">
        <v>5</v>
      </c>
      <c r="F72" t="s">
        <v>883</v>
      </c>
      <c r="G72" t="s">
        <v>884</v>
      </c>
    </row>
    <row r="73" spans="2:7" x14ac:dyDescent="0.35">
      <c r="B73" t="s">
        <v>203</v>
      </c>
      <c r="C73">
        <v>322</v>
      </c>
      <c r="D73">
        <v>-113</v>
      </c>
      <c r="E73">
        <v>4</v>
      </c>
      <c r="F73" t="s">
        <v>883</v>
      </c>
      <c r="G73" t="s">
        <v>884</v>
      </c>
    </row>
    <row r="74" spans="2:7" x14ac:dyDescent="0.35">
      <c r="B74" t="s">
        <v>531</v>
      </c>
      <c r="C74">
        <v>72</v>
      </c>
      <c r="D74">
        <v>-6</v>
      </c>
      <c r="E74">
        <v>3</v>
      </c>
      <c r="F74" t="s">
        <v>883</v>
      </c>
      <c r="G74" t="s">
        <v>884</v>
      </c>
    </row>
    <row r="75" spans="2:7" x14ac:dyDescent="0.35">
      <c r="B75" t="s">
        <v>531</v>
      </c>
      <c r="C75">
        <v>1069</v>
      </c>
      <c r="D75">
        <v>0</v>
      </c>
      <c r="E75">
        <v>6</v>
      </c>
      <c r="F75" t="s">
        <v>883</v>
      </c>
      <c r="G75" t="s">
        <v>884</v>
      </c>
    </row>
    <row r="76" spans="2:7" x14ac:dyDescent="0.35">
      <c r="B76" t="s">
        <v>268</v>
      </c>
      <c r="C76">
        <v>58</v>
      </c>
      <c r="D76">
        <v>-8</v>
      </c>
      <c r="E76">
        <v>2</v>
      </c>
      <c r="F76" t="s">
        <v>883</v>
      </c>
      <c r="G76" t="s">
        <v>884</v>
      </c>
    </row>
    <row r="77" spans="2:7" x14ac:dyDescent="0.35">
      <c r="B77" t="s">
        <v>536</v>
      </c>
      <c r="C77">
        <v>143</v>
      </c>
      <c r="D77">
        <v>-124</v>
      </c>
      <c r="E77">
        <v>5</v>
      </c>
      <c r="F77" t="s">
        <v>883</v>
      </c>
      <c r="G77" t="s">
        <v>884</v>
      </c>
    </row>
    <row r="78" spans="2:7" x14ac:dyDescent="0.35">
      <c r="B78" t="s">
        <v>536</v>
      </c>
      <c r="C78">
        <v>9</v>
      </c>
      <c r="D78">
        <v>-5</v>
      </c>
      <c r="E78">
        <v>1</v>
      </c>
      <c r="F78" t="s">
        <v>883</v>
      </c>
      <c r="G78" t="s">
        <v>884</v>
      </c>
    </row>
    <row r="79" spans="2:7" x14ac:dyDescent="0.35">
      <c r="B79" t="s">
        <v>539</v>
      </c>
      <c r="C79">
        <v>296</v>
      </c>
      <c r="D79">
        <v>-225</v>
      </c>
      <c r="E79">
        <v>11</v>
      </c>
      <c r="F79" t="s">
        <v>883</v>
      </c>
      <c r="G79" t="s">
        <v>884</v>
      </c>
    </row>
    <row r="80" spans="2:7" x14ac:dyDescent="0.35">
      <c r="B80" t="s">
        <v>205</v>
      </c>
      <c r="C80">
        <v>87</v>
      </c>
      <c r="D80">
        <v>16</v>
      </c>
      <c r="E80">
        <v>2</v>
      </c>
      <c r="F80" t="s">
        <v>883</v>
      </c>
      <c r="G80" t="s">
        <v>884</v>
      </c>
    </row>
    <row r="81" spans="2:7" x14ac:dyDescent="0.35">
      <c r="B81" t="s">
        <v>51</v>
      </c>
      <c r="C81">
        <v>208</v>
      </c>
      <c r="D81">
        <v>-25</v>
      </c>
      <c r="E81">
        <v>2</v>
      </c>
      <c r="F81" t="s">
        <v>883</v>
      </c>
      <c r="G81" t="s">
        <v>884</v>
      </c>
    </row>
    <row r="82" spans="2:7" x14ac:dyDescent="0.35">
      <c r="B82" t="s">
        <v>51</v>
      </c>
      <c r="C82">
        <v>20</v>
      </c>
      <c r="D82">
        <v>-18</v>
      </c>
      <c r="E82">
        <v>2</v>
      </c>
      <c r="F82" t="s">
        <v>883</v>
      </c>
      <c r="G82" t="s">
        <v>884</v>
      </c>
    </row>
    <row r="83" spans="2:7" x14ac:dyDescent="0.35">
      <c r="B83" t="s">
        <v>272</v>
      </c>
      <c r="C83">
        <v>43</v>
      </c>
      <c r="D83">
        <v>-5</v>
      </c>
      <c r="E83">
        <v>2</v>
      </c>
      <c r="F83" t="s">
        <v>883</v>
      </c>
      <c r="G83" t="s">
        <v>884</v>
      </c>
    </row>
    <row r="84" spans="2:7" x14ac:dyDescent="0.35">
      <c r="B84" t="s">
        <v>543</v>
      </c>
      <c r="C84">
        <v>30</v>
      </c>
      <c r="D84">
        <v>-23</v>
      </c>
      <c r="E84">
        <v>2</v>
      </c>
      <c r="F84" t="s">
        <v>883</v>
      </c>
      <c r="G84" t="s">
        <v>884</v>
      </c>
    </row>
    <row r="85" spans="2:7" x14ac:dyDescent="0.35">
      <c r="B85" t="s">
        <v>543</v>
      </c>
      <c r="C85">
        <v>319</v>
      </c>
      <c r="D85">
        <v>-312</v>
      </c>
      <c r="E85">
        <v>5</v>
      </c>
      <c r="F85" t="s">
        <v>883</v>
      </c>
      <c r="G85" t="s">
        <v>884</v>
      </c>
    </row>
    <row r="86" spans="2:7" x14ac:dyDescent="0.35">
      <c r="B86" t="s">
        <v>545</v>
      </c>
      <c r="C86">
        <v>37</v>
      </c>
      <c r="D86">
        <v>-53</v>
      </c>
      <c r="E86">
        <v>3</v>
      </c>
      <c r="F86" t="s">
        <v>883</v>
      </c>
      <c r="G86" t="s">
        <v>884</v>
      </c>
    </row>
    <row r="87" spans="2:7" x14ac:dyDescent="0.35">
      <c r="B87" t="s">
        <v>545</v>
      </c>
      <c r="C87">
        <v>321</v>
      </c>
      <c r="D87">
        <v>-315</v>
      </c>
      <c r="E87">
        <v>5</v>
      </c>
      <c r="F87" t="s">
        <v>883</v>
      </c>
      <c r="G87" t="s">
        <v>884</v>
      </c>
    </row>
    <row r="88" spans="2:7" x14ac:dyDescent="0.35">
      <c r="B88" t="s">
        <v>545</v>
      </c>
      <c r="C88">
        <v>27</v>
      </c>
      <c r="D88">
        <v>4</v>
      </c>
      <c r="E88">
        <v>2</v>
      </c>
      <c r="F88" t="s">
        <v>883</v>
      </c>
      <c r="G88" t="s">
        <v>884</v>
      </c>
    </row>
    <row r="89" spans="2:7" x14ac:dyDescent="0.35">
      <c r="B89" t="s">
        <v>276</v>
      </c>
      <c r="C89">
        <v>40</v>
      </c>
      <c r="D89">
        <v>0</v>
      </c>
      <c r="E89">
        <v>3</v>
      </c>
      <c r="F89" t="s">
        <v>883</v>
      </c>
      <c r="G89" t="s">
        <v>884</v>
      </c>
    </row>
    <row r="90" spans="2:7" x14ac:dyDescent="0.35">
      <c r="B90" t="s">
        <v>276</v>
      </c>
      <c r="C90">
        <v>102</v>
      </c>
      <c r="D90">
        <v>-90</v>
      </c>
      <c r="E90">
        <v>1</v>
      </c>
      <c r="F90" t="s">
        <v>883</v>
      </c>
      <c r="G90" t="s">
        <v>884</v>
      </c>
    </row>
    <row r="91" spans="2:7" x14ac:dyDescent="0.35">
      <c r="B91" t="s">
        <v>57</v>
      </c>
      <c r="C91">
        <v>98</v>
      </c>
      <c r="D91">
        <v>-5</v>
      </c>
      <c r="E91">
        <v>2</v>
      </c>
      <c r="F91" t="s">
        <v>883</v>
      </c>
      <c r="G91" t="s">
        <v>884</v>
      </c>
    </row>
    <row r="92" spans="2:7" x14ac:dyDescent="0.35">
      <c r="B92" t="s">
        <v>207</v>
      </c>
      <c r="C92">
        <v>24</v>
      </c>
      <c r="D92">
        <v>-24</v>
      </c>
      <c r="E92">
        <v>2</v>
      </c>
      <c r="F92" t="s">
        <v>883</v>
      </c>
      <c r="G92" t="s">
        <v>884</v>
      </c>
    </row>
    <row r="93" spans="2:7" x14ac:dyDescent="0.35">
      <c r="B93" t="s">
        <v>552</v>
      </c>
      <c r="C93">
        <v>220</v>
      </c>
      <c r="D93">
        <v>-19</v>
      </c>
      <c r="E93">
        <v>2</v>
      </c>
      <c r="F93" t="s">
        <v>883</v>
      </c>
      <c r="G93" t="s">
        <v>884</v>
      </c>
    </row>
    <row r="94" spans="2:7" x14ac:dyDescent="0.35">
      <c r="B94" t="s">
        <v>553</v>
      </c>
      <c r="C94">
        <v>29</v>
      </c>
      <c r="D94">
        <v>-3</v>
      </c>
      <c r="E94">
        <v>3</v>
      </c>
      <c r="F94" t="s">
        <v>883</v>
      </c>
      <c r="G94" t="s">
        <v>884</v>
      </c>
    </row>
    <row r="95" spans="2:7" x14ac:dyDescent="0.35">
      <c r="B95" t="s">
        <v>553</v>
      </c>
      <c r="C95">
        <v>48</v>
      </c>
      <c r="D95">
        <v>-22</v>
      </c>
      <c r="E95">
        <v>2</v>
      </c>
      <c r="F95" t="s">
        <v>883</v>
      </c>
      <c r="G95" t="s">
        <v>884</v>
      </c>
    </row>
    <row r="96" spans="2:7" x14ac:dyDescent="0.35">
      <c r="B96" t="s">
        <v>278</v>
      </c>
      <c r="C96">
        <v>355</v>
      </c>
      <c r="D96">
        <v>-4</v>
      </c>
      <c r="E96">
        <v>2</v>
      </c>
      <c r="F96" t="s">
        <v>883</v>
      </c>
      <c r="G96" t="s">
        <v>884</v>
      </c>
    </row>
    <row r="97" spans="2:7" x14ac:dyDescent="0.35">
      <c r="B97" t="s">
        <v>560</v>
      </c>
      <c r="C97">
        <v>85</v>
      </c>
      <c r="D97">
        <v>-9</v>
      </c>
      <c r="E97">
        <v>4</v>
      </c>
      <c r="F97" t="s">
        <v>883</v>
      </c>
      <c r="G97" t="s">
        <v>884</v>
      </c>
    </row>
    <row r="98" spans="2:7" x14ac:dyDescent="0.35">
      <c r="B98" t="s">
        <v>560</v>
      </c>
      <c r="C98">
        <v>24</v>
      </c>
      <c r="D98">
        <v>-14</v>
      </c>
      <c r="E98">
        <v>2</v>
      </c>
      <c r="F98" t="s">
        <v>883</v>
      </c>
      <c r="G98" t="s">
        <v>884</v>
      </c>
    </row>
    <row r="99" spans="2:7" x14ac:dyDescent="0.35">
      <c r="B99" t="s">
        <v>282</v>
      </c>
      <c r="C99">
        <v>109</v>
      </c>
      <c r="D99">
        <v>-6</v>
      </c>
      <c r="E99">
        <v>6</v>
      </c>
      <c r="F99" t="s">
        <v>883</v>
      </c>
      <c r="G99" t="s">
        <v>884</v>
      </c>
    </row>
    <row r="100" spans="2:7" x14ac:dyDescent="0.35">
      <c r="B100" t="s">
        <v>282</v>
      </c>
      <c r="C100">
        <v>933</v>
      </c>
      <c r="D100">
        <v>166</v>
      </c>
      <c r="E100">
        <v>5</v>
      </c>
      <c r="F100" t="s">
        <v>883</v>
      </c>
      <c r="G100" t="s">
        <v>884</v>
      </c>
    </row>
    <row r="101" spans="2:7" x14ac:dyDescent="0.35">
      <c r="B101" t="s">
        <v>571</v>
      </c>
      <c r="C101">
        <v>595</v>
      </c>
      <c r="D101">
        <v>292</v>
      </c>
      <c r="E101">
        <v>3</v>
      </c>
      <c r="F101" t="s">
        <v>883</v>
      </c>
      <c r="G101" t="s">
        <v>884</v>
      </c>
    </row>
    <row r="102" spans="2:7" x14ac:dyDescent="0.35">
      <c r="B102" t="s">
        <v>571</v>
      </c>
      <c r="C102">
        <v>192</v>
      </c>
      <c r="D102">
        <v>-146</v>
      </c>
      <c r="E102">
        <v>3</v>
      </c>
      <c r="F102" t="s">
        <v>883</v>
      </c>
      <c r="G102" t="s">
        <v>884</v>
      </c>
    </row>
    <row r="103" spans="2:7" x14ac:dyDescent="0.35">
      <c r="B103" t="s">
        <v>571</v>
      </c>
      <c r="C103">
        <v>26</v>
      </c>
      <c r="D103">
        <v>-25</v>
      </c>
      <c r="E103">
        <v>3</v>
      </c>
      <c r="F103" t="s">
        <v>883</v>
      </c>
      <c r="G103" t="s">
        <v>884</v>
      </c>
    </row>
    <row r="104" spans="2:7" x14ac:dyDescent="0.35">
      <c r="B104" t="s">
        <v>573</v>
      </c>
      <c r="C104">
        <v>556</v>
      </c>
      <c r="D104">
        <v>-209</v>
      </c>
      <c r="E104">
        <v>7</v>
      </c>
      <c r="F104" t="s">
        <v>883</v>
      </c>
      <c r="G104" t="s">
        <v>884</v>
      </c>
    </row>
    <row r="105" spans="2:7" x14ac:dyDescent="0.35">
      <c r="B105" t="s">
        <v>580</v>
      </c>
      <c r="C105">
        <v>253</v>
      </c>
      <c r="D105">
        <v>-63</v>
      </c>
      <c r="E105">
        <v>2</v>
      </c>
      <c r="F105" t="s">
        <v>883</v>
      </c>
      <c r="G105" t="s">
        <v>884</v>
      </c>
    </row>
    <row r="106" spans="2:7" x14ac:dyDescent="0.35">
      <c r="B106" t="s">
        <v>580</v>
      </c>
      <c r="C106">
        <v>565</v>
      </c>
      <c r="D106">
        <v>66</v>
      </c>
      <c r="E106">
        <v>7</v>
      </c>
      <c r="F106" t="s">
        <v>883</v>
      </c>
      <c r="G106" t="s">
        <v>884</v>
      </c>
    </row>
    <row r="107" spans="2:7" x14ac:dyDescent="0.35">
      <c r="B107" t="s">
        <v>580</v>
      </c>
      <c r="C107">
        <v>175</v>
      </c>
      <c r="D107">
        <v>77</v>
      </c>
      <c r="E107">
        <v>3</v>
      </c>
      <c r="F107" t="s">
        <v>883</v>
      </c>
      <c r="G107" t="s">
        <v>884</v>
      </c>
    </row>
    <row r="108" spans="2:7" x14ac:dyDescent="0.35">
      <c r="B108" t="s">
        <v>67</v>
      </c>
      <c r="C108">
        <v>257</v>
      </c>
      <c r="D108">
        <v>-252</v>
      </c>
      <c r="E108">
        <v>4</v>
      </c>
      <c r="F108" t="s">
        <v>883</v>
      </c>
      <c r="G108" t="s">
        <v>884</v>
      </c>
    </row>
    <row r="109" spans="2:7" x14ac:dyDescent="0.35">
      <c r="B109" t="s">
        <v>67</v>
      </c>
      <c r="C109">
        <v>1402</v>
      </c>
      <c r="D109">
        <v>109</v>
      </c>
      <c r="E109">
        <v>11</v>
      </c>
      <c r="F109" t="s">
        <v>883</v>
      </c>
      <c r="G109" t="s">
        <v>884</v>
      </c>
    </row>
    <row r="110" spans="2:7" x14ac:dyDescent="0.35">
      <c r="B110" t="s">
        <v>286</v>
      </c>
      <c r="C110">
        <v>37</v>
      </c>
      <c r="D110">
        <v>-6</v>
      </c>
      <c r="E110">
        <v>1</v>
      </c>
      <c r="F110" t="s">
        <v>883</v>
      </c>
      <c r="G110" t="s">
        <v>884</v>
      </c>
    </row>
    <row r="111" spans="2:7" x14ac:dyDescent="0.35">
      <c r="B111" t="s">
        <v>286</v>
      </c>
      <c r="C111">
        <v>632</v>
      </c>
      <c r="D111">
        <v>-316</v>
      </c>
      <c r="E111">
        <v>6</v>
      </c>
      <c r="F111" t="s">
        <v>883</v>
      </c>
      <c r="G111" t="s">
        <v>884</v>
      </c>
    </row>
    <row r="112" spans="2:7" x14ac:dyDescent="0.35">
      <c r="B112" t="s">
        <v>286</v>
      </c>
      <c r="C112">
        <v>148</v>
      </c>
      <c r="D112">
        <v>0</v>
      </c>
      <c r="E112">
        <v>3</v>
      </c>
      <c r="F112" t="s">
        <v>883</v>
      </c>
      <c r="G112" t="s">
        <v>884</v>
      </c>
    </row>
    <row r="113" spans="2:7" x14ac:dyDescent="0.35">
      <c r="B113" t="s">
        <v>69</v>
      </c>
      <c r="C113">
        <v>89</v>
      </c>
      <c r="D113">
        <v>-4</v>
      </c>
      <c r="E113">
        <v>5</v>
      </c>
      <c r="F113" t="s">
        <v>883</v>
      </c>
      <c r="G113" t="s">
        <v>884</v>
      </c>
    </row>
    <row r="114" spans="2:7" x14ac:dyDescent="0.35">
      <c r="B114" t="s">
        <v>585</v>
      </c>
      <c r="C114">
        <v>379</v>
      </c>
      <c r="D114">
        <v>63</v>
      </c>
      <c r="E114">
        <v>2</v>
      </c>
      <c r="F114" t="s">
        <v>883</v>
      </c>
      <c r="G114" t="s">
        <v>884</v>
      </c>
    </row>
    <row r="115" spans="2:7" x14ac:dyDescent="0.35">
      <c r="B115" t="s">
        <v>587</v>
      </c>
      <c r="C115">
        <v>205</v>
      </c>
      <c r="D115">
        <v>-119</v>
      </c>
      <c r="E115">
        <v>3</v>
      </c>
      <c r="F115" t="s">
        <v>883</v>
      </c>
      <c r="G115" t="s">
        <v>884</v>
      </c>
    </row>
    <row r="116" spans="2:7" x14ac:dyDescent="0.35">
      <c r="B116" t="s">
        <v>587</v>
      </c>
      <c r="C116">
        <v>47</v>
      </c>
      <c r="D116">
        <v>-27</v>
      </c>
      <c r="E116">
        <v>4</v>
      </c>
      <c r="F116" t="s">
        <v>883</v>
      </c>
      <c r="G116" t="s">
        <v>884</v>
      </c>
    </row>
    <row r="117" spans="2:7" x14ac:dyDescent="0.35">
      <c r="B117" t="s">
        <v>166</v>
      </c>
      <c r="C117">
        <v>64</v>
      </c>
      <c r="D117">
        <v>6</v>
      </c>
      <c r="E117">
        <v>4</v>
      </c>
      <c r="F117" t="s">
        <v>883</v>
      </c>
      <c r="G117" t="s">
        <v>884</v>
      </c>
    </row>
    <row r="118" spans="2:7" x14ac:dyDescent="0.35">
      <c r="B118" t="s">
        <v>288</v>
      </c>
      <c r="C118">
        <v>27</v>
      </c>
      <c r="D118">
        <v>-7</v>
      </c>
      <c r="E118">
        <v>5</v>
      </c>
      <c r="F118" t="s">
        <v>883</v>
      </c>
      <c r="G118" t="s">
        <v>884</v>
      </c>
    </row>
    <row r="119" spans="2:7" x14ac:dyDescent="0.35">
      <c r="B119" t="s">
        <v>71</v>
      </c>
      <c r="C119">
        <v>765</v>
      </c>
      <c r="D119">
        <v>8</v>
      </c>
      <c r="E119">
        <v>6</v>
      </c>
      <c r="F119" t="s">
        <v>883</v>
      </c>
      <c r="G119" t="s">
        <v>884</v>
      </c>
    </row>
    <row r="120" spans="2:7" x14ac:dyDescent="0.35">
      <c r="B120" t="s">
        <v>597</v>
      </c>
      <c r="C120">
        <v>1120</v>
      </c>
      <c r="D120">
        <v>199</v>
      </c>
      <c r="E120">
        <v>6</v>
      </c>
      <c r="F120" t="s">
        <v>883</v>
      </c>
      <c r="G120" t="s">
        <v>884</v>
      </c>
    </row>
    <row r="121" spans="2:7" x14ac:dyDescent="0.35">
      <c r="B121" t="s">
        <v>77</v>
      </c>
      <c r="C121">
        <v>462</v>
      </c>
      <c r="D121">
        <v>169</v>
      </c>
      <c r="E121">
        <v>4</v>
      </c>
      <c r="F121" t="s">
        <v>883</v>
      </c>
      <c r="G121" t="s">
        <v>884</v>
      </c>
    </row>
    <row r="122" spans="2:7" x14ac:dyDescent="0.35">
      <c r="B122" t="s">
        <v>605</v>
      </c>
      <c r="C122">
        <v>34</v>
      </c>
      <c r="D122">
        <v>13</v>
      </c>
      <c r="E122">
        <v>2</v>
      </c>
      <c r="F122" t="s">
        <v>883</v>
      </c>
      <c r="G122" t="s">
        <v>884</v>
      </c>
    </row>
    <row r="123" spans="2:7" x14ac:dyDescent="0.35">
      <c r="B123" t="s">
        <v>83</v>
      </c>
      <c r="C123">
        <v>140</v>
      </c>
      <c r="D123">
        <v>6</v>
      </c>
      <c r="E123">
        <v>5</v>
      </c>
      <c r="F123" t="s">
        <v>883</v>
      </c>
      <c r="G123" t="s">
        <v>884</v>
      </c>
    </row>
    <row r="124" spans="2:7" x14ac:dyDescent="0.35">
      <c r="B124" t="s">
        <v>607</v>
      </c>
      <c r="C124">
        <v>537</v>
      </c>
      <c r="D124">
        <v>107</v>
      </c>
      <c r="E124">
        <v>3</v>
      </c>
      <c r="F124" t="s">
        <v>883</v>
      </c>
      <c r="G124" t="s">
        <v>884</v>
      </c>
    </row>
    <row r="125" spans="2:7" x14ac:dyDescent="0.35">
      <c r="B125" t="s">
        <v>607</v>
      </c>
      <c r="C125">
        <v>128</v>
      </c>
      <c r="D125">
        <v>-3</v>
      </c>
      <c r="E125">
        <v>3</v>
      </c>
      <c r="F125" t="s">
        <v>883</v>
      </c>
      <c r="G125" t="s">
        <v>884</v>
      </c>
    </row>
    <row r="126" spans="2:7" x14ac:dyDescent="0.35">
      <c r="B126" t="s">
        <v>607</v>
      </c>
      <c r="C126">
        <v>222</v>
      </c>
      <c r="D126">
        <v>35</v>
      </c>
      <c r="E126">
        <v>5</v>
      </c>
      <c r="F126" t="s">
        <v>883</v>
      </c>
      <c r="G126" t="s">
        <v>884</v>
      </c>
    </row>
    <row r="127" spans="2:7" x14ac:dyDescent="0.35">
      <c r="B127" t="s">
        <v>611</v>
      </c>
      <c r="C127">
        <v>54</v>
      </c>
      <c r="D127">
        <v>1</v>
      </c>
      <c r="E127">
        <v>2</v>
      </c>
      <c r="F127" t="s">
        <v>883</v>
      </c>
      <c r="G127" t="s">
        <v>884</v>
      </c>
    </row>
    <row r="128" spans="2:7" x14ac:dyDescent="0.35">
      <c r="B128" t="s">
        <v>613</v>
      </c>
      <c r="C128">
        <v>693</v>
      </c>
      <c r="D128">
        <v>254</v>
      </c>
      <c r="E128">
        <v>6</v>
      </c>
      <c r="F128" t="s">
        <v>883</v>
      </c>
      <c r="G128" t="s">
        <v>884</v>
      </c>
    </row>
    <row r="129" spans="2:7" x14ac:dyDescent="0.35">
      <c r="B129" t="s">
        <v>618</v>
      </c>
      <c r="C129">
        <v>1250</v>
      </c>
      <c r="D129">
        <v>486</v>
      </c>
      <c r="E129">
        <v>7</v>
      </c>
      <c r="F129" t="s">
        <v>883</v>
      </c>
      <c r="G129" t="s">
        <v>884</v>
      </c>
    </row>
    <row r="130" spans="2:7" x14ac:dyDescent="0.35">
      <c r="B130" t="s">
        <v>620</v>
      </c>
      <c r="C130">
        <v>262</v>
      </c>
      <c r="D130">
        <v>64</v>
      </c>
      <c r="E130">
        <v>6</v>
      </c>
      <c r="F130" t="s">
        <v>883</v>
      </c>
      <c r="G130" t="s">
        <v>884</v>
      </c>
    </row>
    <row r="131" spans="2:7" x14ac:dyDescent="0.35">
      <c r="B131" t="s">
        <v>91</v>
      </c>
      <c r="C131">
        <v>86</v>
      </c>
      <c r="D131">
        <v>8</v>
      </c>
      <c r="E131">
        <v>2</v>
      </c>
      <c r="F131" t="s">
        <v>883</v>
      </c>
      <c r="G131" t="s">
        <v>884</v>
      </c>
    </row>
    <row r="132" spans="2:7" x14ac:dyDescent="0.35">
      <c r="B132" t="s">
        <v>631</v>
      </c>
      <c r="C132">
        <v>485</v>
      </c>
      <c r="D132">
        <v>199</v>
      </c>
      <c r="E132">
        <v>4</v>
      </c>
      <c r="F132" t="s">
        <v>883</v>
      </c>
      <c r="G132" t="s">
        <v>884</v>
      </c>
    </row>
    <row r="133" spans="2:7" x14ac:dyDescent="0.35">
      <c r="B133" t="s">
        <v>632</v>
      </c>
      <c r="C133">
        <v>103</v>
      </c>
      <c r="D133">
        <v>46</v>
      </c>
      <c r="E133">
        <v>2</v>
      </c>
      <c r="F133" t="s">
        <v>883</v>
      </c>
      <c r="G133" t="s">
        <v>884</v>
      </c>
    </row>
    <row r="134" spans="2:7" x14ac:dyDescent="0.35">
      <c r="B134" t="s">
        <v>632</v>
      </c>
      <c r="C134">
        <v>62</v>
      </c>
      <c r="D134">
        <v>1</v>
      </c>
      <c r="E134">
        <v>3</v>
      </c>
      <c r="F134" t="s">
        <v>883</v>
      </c>
      <c r="G134" t="s">
        <v>884</v>
      </c>
    </row>
    <row r="135" spans="2:7" x14ac:dyDescent="0.35">
      <c r="B135" t="s">
        <v>636</v>
      </c>
      <c r="C135">
        <v>19</v>
      </c>
      <c r="D135">
        <v>6</v>
      </c>
      <c r="E135">
        <v>2</v>
      </c>
      <c r="F135" t="s">
        <v>883</v>
      </c>
      <c r="G135" t="s">
        <v>884</v>
      </c>
    </row>
    <row r="136" spans="2:7" x14ac:dyDescent="0.35">
      <c r="B136" t="s">
        <v>636</v>
      </c>
      <c r="C136">
        <v>128</v>
      </c>
      <c r="D136">
        <v>4</v>
      </c>
      <c r="E136">
        <v>3</v>
      </c>
      <c r="F136" t="s">
        <v>883</v>
      </c>
      <c r="G136" t="s">
        <v>884</v>
      </c>
    </row>
    <row r="137" spans="2:7" x14ac:dyDescent="0.35">
      <c r="B137" t="s">
        <v>213</v>
      </c>
      <c r="C137">
        <v>53</v>
      </c>
      <c r="D137">
        <v>-2</v>
      </c>
      <c r="E137">
        <v>3</v>
      </c>
      <c r="F137" t="s">
        <v>883</v>
      </c>
      <c r="G137" t="s">
        <v>884</v>
      </c>
    </row>
    <row r="138" spans="2:7" x14ac:dyDescent="0.35">
      <c r="B138" t="s">
        <v>213</v>
      </c>
      <c r="C138">
        <v>381</v>
      </c>
      <c r="D138">
        <v>144</v>
      </c>
      <c r="E138">
        <v>2</v>
      </c>
      <c r="F138" t="s">
        <v>883</v>
      </c>
      <c r="G138" t="s">
        <v>884</v>
      </c>
    </row>
    <row r="139" spans="2:7" x14ac:dyDescent="0.35">
      <c r="B139" t="s">
        <v>170</v>
      </c>
      <c r="C139">
        <v>1027</v>
      </c>
      <c r="D139">
        <v>441</v>
      </c>
      <c r="E139">
        <v>8</v>
      </c>
      <c r="F139" t="s">
        <v>883</v>
      </c>
      <c r="G139" t="s">
        <v>884</v>
      </c>
    </row>
    <row r="140" spans="2:7" x14ac:dyDescent="0.35">
      <c r="B140" t="s">
        <v>309</v>
      </c>
      <c r="C140">
        <v>689</v>
      </c>
      <c r="D140">
        <v>90</v>
      </c>
      <c r="E140">
        <v>5</v>
      </c>
      <c r="F140" t="s">
        <v>883</v>
      </c>
      <c r="G140" t="s">
        <v>884</v>
      </c>
    </row>
    <row r="141" spans="2:7" x14ac:dyDescent="0.35">
      <c r="B141" t="s">
        <v>309</v>
      </c>
      <c r="C141">
        <v>257</v>
      </c>
      <c r="D141">
        <v>3</v>
      </c>
      <c r="E141">
        <v>2</v>
      </c>
      <c r="F141" t="s">
        <v>883</v>
      </c>
      <c r="G141" t="s">
        <v>884</v>
      </c>
    </row>
    <row r="142" spans="2:7" x14ac:dyDescent="0.35">
      <c r="B142" t="s">
        <v>309</v>
      </c>
      <c r="C142">
        <v>48</v>
      </c>
      <c r="D142">
        <v>6</v>
      </c>
      <c r="E142">
        <v>1</v>
      </c>
      <c r="F142" t="s">
        <v>883</v>
      </c>
      <c r="G142" t="s">
        <v>884</v>
      </c>
    </row>
    <row r="143" spans="2:7" x14ac:dyDescent="0.35">
      <c r="B143" t="s">
        <v>310</v>
      </c>
      <c r="C143">
        <v>16</v>
      </c>
      <c r="D143">
        <v>0</v>
      </c>
      <c r="E143">
        <v>1</v>
      </c>
      <c r="F143" t="s">
        <v>883</v>
      </c>
      <c r="G143" t="s">
        <v>884</v>
      </c>
    </row>
    <row r="144" spans="2:7" x14ac:dyDescent="0.35">
      <c r="B144" t="s">
        <v>310</v>
      </c>
      <c r="C144">
        <v>245</v>
      </c>
      <c r="D144">
        <v>30</v>
      </c>
      <c r="E144">
        <v>2</v>
      </c>
      <c r="F144" t="s">
        <v>883</v>
      </c>
      <c r="G144" t="s">
        <v>884</v>
      </c>
    </row>
    <row r="145" spans="2:7" x14ac:dyDescent="0.35">
      <c r="B145" t="s">
        <v>639</v>
      </c>
      <c r="C145">
        <v>128</v>
      </c>
      <c r="D145">
        <v>4</v>
      </c>
      <c r="E145">
        <v>3</v>
      </c>
      <c r="F145" t="s">
        <v>883</v>
      </c>
      <c r="G145" t="s">
        <v>884</v>
      </c>
    </row>
    <row r="146" spans="2:7" x14ac:dyDescent="0.35">
      <c r="B146" t="s">
        <v>97</v>
      </c>
      <c r="C146">
        <v>85</v>
      </c>
      <c r="D146">
        <v>-1</v>
      </c>
      <c r="E146">
        <v>3</v>
      </c>
      <c r="F146" t="s">
        <v>883</v>
      </c>
      <c r="G146" t="s">
        <v>884</v>
      </c>
    </row>
    <row r="147" spans="2:7" x14ac:dyDescent="0.35">
      <c r="B147" t="s">
        <v>650</v>
      </c>
      <c r="C147">
        <v>86</v>
      </c>
      <c r="D147">
        <v>9</v>
      </c>
      <c r="E147">
        <v>3</v>
      </c>
      <c r="F147" t="s">
        <v>883</v>
      </c>
      <c r="G147" t="s">
        <v>884</v>
      </c>
    </row>
    <row r="148" spans="2:7" x14ac:dyDescent="0.35">
      <c r="B148" t="s">
        <v>652</v>
      </c>
      <c r="C148">
        <v>845</v>
      </c>
      <c r="D148">
        <v>84</v>
      </c>
      <c r="E148">
        <v>7</v>
      </c>
      <c r="F148" t="s">
        <v>883</v>
      </c>
      <c r="G148" t="s">
        <v>884</v>
      </c>
    </row>
    <row r="149" spans="2:7" x14ac:dyDescent="0.35">
      <c r="B149" t="s">
        <v>658</v>
      </c>
      <c r="C149">
        <v>248</v>
      </c>
      <c r="D149">
        <v>8</v>
      </c>
      <c r="E149">
        <v>2</v>
      </c>
      <c r="F149" t="s">
        <v>883</v>
      </c>
      <c r="G149" t="s">
        <v>884</v>
      </c>
    </row>
    <row r="150" spans="2:7" x14ac:dyDescent="0.35">
      <c r="B150" t="s">
        <v>319</v>
      </c>
      <c r="C150">
        <v>465</v>
      </c>
      <c r="D150">
        <v>207</v>
      </c>
      <c r="E150">
        <v>9</v>
      </c>
      <c r="F150" t="s">
        <v>883</v>
      </c>
      <c r="G150" t="s">
        <v>884</v>
      </c>
    </row>
    <row r="151" spans="2:7" x14ac:dyDescent="0.35">
      <c r="B151" t="s">
        <v>680</v>
      </c>
      <c r="C151">
        <v>149</v>
      </c>
      <c r="D151">
        <v>15</v>
      </c>
      <c r="E151">
        <v>3</v>
      </c>
      <c r="F151" t="s">
        <v>883</v>
      </c>
      <c r="G151" t="s">
        <v>884</v>
      </c>
    </row>
    <row r="152" spans="2:7" x14ac:dyDescent="0.35">
      <c r="B152" t="s">
        <v>686</v>
      </c>
      <c r="C152">
        <v>499</v>
      </c>
      <c r="D152">
        <v>33</v>
      </c>
      <c r="E152">
        <v>4</v>
      </c>
      <c r="F152" t="s">
        <v>883</v>
      </c>
      <c r="G152" t="s">
        <v>884</v>
      </c>
    </row>
    <row r="153" spans="2:7" x14ac:dyDescent="0.35">
      <c r="B153" t="s">
        <v>687</v>
      </c>
      <c r="C153">
        <v>43</v>
      </c>
      <c r="D153">
        <v>17</v>
      </c>
      <c r="E153">
        <v>1</v>
      </c>
      <c r="F153" t="s">
        <v>883</v>
      </c>
      <c r="G153" t="s">
        <v>884</v>
      </c>
    </row>
    <row r="154" spans="2:7" x14ac:dyDescent="0.35">
      <c r="B154" t="s">
        <v>323</v>
      </c>
      <c r="C154">
        <v>79</v>
      </c>
      <c r="D154">
        <v>6</v>
      </c>
      <c r="E154">
        <v>7</v>
      </c>
      <c r="F154" t="s">
        <v>883</v>
      </c>
      <c r="G154" t="s">
        <v>884</v>
      </c>
    </row>
    <row r="155" spans="2:7" x14ac:dyDescent="0.35">
      <c r="B155" t="s">
        <v>177</v>
      </c>
      <c r="C155">
        <v>168</v>
      </c>
      <c r="D155">
        <v>56</v>
      </c>
      <c r="E155">
        <v>3</v>
      </c>
      <c r="F155" t="s">
        <v>883</v>
      </c>
      <c r="G155" t="s">
        <v>884</v>
      </c>
    </row>
    <row r="156" spans="2:7" x14ac:dyDescent="0.35">
      <c r="B156" t="s">
        <v>332</v>
      </c>
      <c r="C156">
        <v>412</v>
      </c>
      <c r="D156">
        <v>-412</v>
      </c>
      <c r="E156">
        <v>6</v>
      </c>
      <c r="F156" t="s">
        <v>883</v>
      </c>
      <c r="G156" t="s">
        <v>884</v>
      </c>
    </row>
    <row r="157" spans="2:7" x14ac:dyDescent="0.35">
      <c r="B157" t="s">
        <v>332</v>
      </c>
      <c r="C157">
        <v>207</v>
      </c>
      <c r="D157">
        <v>-100</v>
      </c>
      <c r="E157">
        <v>2</v>
      </c>
      <c r="F157" t="s">
        <v>883</v>
      </c>
      <c r="G157" t="s">
        <v>884</v>
      </c>
    </row>
    <row r="158" spans="2:7" x14ac:dyDescent="0.35">
      <c r="B158" t="s">
        <v>116</v>
      </c>
      <c r="C158">
        <v>105</v>
      </c>
      <c r="D158">
        <v>33</v>
      </c>
      <c r="E158">
        <v>6</v>
      </c>
      <c r="F158" t="s">
        <v>883</v>
      </c>
      <c r="G158" t="s">
        <v>884</v>
      </c>
    </row>
    <row r="159" spans="2:7" x14ac:dyDescent="0.35">
      <c r="B159" t="s">
        <v>726</v>
      </c>
      <c r="C159">
        <v>61</v>
      </c>
      <c r="D159">
        <v>25</v>
      </c>
      <c r="E159">
        <v>4</v>
      </c>
      <c r="F159" t="s">
        <v>883</v>
      </c>
      <c r="G159" t="s">
        <v>884</v>
      </c>
    </row>
    <row r="160" spans="2:7" x14ac:dyDescent="0.35">
      <c r="B160" t="s">
        <v>737</v>
      </c>
      <c r="C160">
        <v>149</v>
      </c>
      <c r="D160">
        <v>15</v>
      </c>
      <c r="E160">
        <v>3</v>
      </c>
      <c r="F160" t="s">
        <v>883</v>
      </c>
      <c r="G160" t="s">
        <v>884</v>
      </c>
    </row>
    <row r="161" spans="2:7" x14ac:dyDescent="0.35">
      <c r="B161" t="s">
        <v>214</v>
      </c>
      <c r="C161">
        <v>169</v>
      </c>
      <c r="D161">
        <v>38</v>
      </c>
      <c r="E161">
        <v>3</v>
      </c>
      <c r="F161" t="s">
        <v>883</v>
      </c>
      <c r="G161" t="s">
        <v>884</v>
      </c>
    </row>
    <row r="162" spans="2:7" x14ac:dyDescent="0.35">
      <c r="B162" t="s">
        <v>118</v>
      </c>
      <c r="C162">
        <v>60</v>
      </c>
      <c r="D162">
        <v>3</v>
      </c>
      <c r="E162">
        <v>3</v>
      </c>
      <c r="F162" t="s">
        <v>883</v>
      </c>
      <c r="G162" t="s">
        <v>884</v>
      </c>
    </row>
    <row r="163" spans="2:7" x14ac:dyDescent="0.35">
      <c r="B163" t="s">
        <v>120</v>
      </c>
      <c r="C163">
        <v>136</v>
      </c>
      <c r="D163">
        <v>-33</v>
      </c>
      <c r="E163">
        <v>5</v>
      </c>
      <c r="F163" t="s">
        <v>883</v>
      </c>
      <c r="G163" t="s">
        <v>884</v>
      </c>
    </row>
    <row r="164" spans="2:7" x14ac:dyDescent="0.35">
      <c r="B164" t="s">
        <v>122</v>
      </c>
      <c r="C164">
        <v>147</v>
      </c>
      <c r="D164">
        <v>48</v>
      </c>
      <c r="E164">
        <v>3</v>
      </c>
      <c r="F164" t="s">
        <v>883</v>
      </c>
      <c r="G164" t="s">
        <v>884</v>
      </c>
    </row>
    <row r="165" spans="2:7" x14ac:dyDescent="0.35">
      <c r="B165" t="s">
        <v>745</v>
      </c>
      <c r="C165">
        <v>891</v>
      </c>
      <c r="D165">
        <v>0</v>
      </c>
      <c r="E165">
        <v>5</v>
      </c>
      <c r="F165" t="s">
        <v>883</v>
      </c>
      <c r="G165" t="s">
        <v>884</v>
      </c>
    </row>
    <row r="166" spans="2:7" x14ac:dyDescent="0.35">
      <c r="B166" t="s">
        <v>218</v>
      </c>
      <c r="C166">
        <v>39</v>
      </c>
      <c r="D166">
        <v>2</v>
      </c>
      <c r="E166">
        <v>2</v>
      </c>
      <c r="F166" t="s">
        <v>883</v>
      </c>
      <c r="G166" t="s">
        <v>884</v>
      </c>
    </row>
    <row r="167" spans="2:7" x14ac:dyDescent="0.35">
      <c r="B167" t="s">
        <v>124</v>
      </c>
      <c r="C167">
        <v>16</v>
      </c>
      <c r="D167">
        <v>2</v>
      </c>
      <c r="E167">
        <v>1</v>
      </c>
      <c r="F167" t="s">
        <v>883</v>
      </c>
      <c r="G167" t="s">
        <v>884</v>
      </c>
    </row>
    <row r="168" spans="2:7" x14ac:dyDescent="0.35">
      <c r="B168" t="s">
        <v>747</v>
      </c>
      <c r="C168">
        <v>360</v>
      </c>
      <c r="D168">
        <v>32</v>
      </c>
      <c r="E168">
        <v>3</v>
      </c>
      <c r="F168" t="s">
        <v>883</v>
      </c>
      <c r="G168" t="s">
        <v>884</v>
      </c>
    </row>
    <row r="169" spans="2:7" x14ac:dyDescent="0.35">
      <c r="B169" t="s">
        <v>128</v>
      </c>
      <c r="C169">
        <v>89</v>
      </c>
      <c r="D169">
        <v>6</v>
      </c>
      <c r="E169">
        <v>5</v>
      </c>
      <c r="F169" t="s">
        <v>883</v>
      </c>
      <c r="G169" t="s">
        <v>884</v>
      </c>
    </row>
    <row r="170" spans="2:7" x14ac:dyDescent="0.35">
      <c r="B170" t="s">
        <v>754</v>
      </c>
      <c r="C170">
        <v>229</v>
      </c>
      <c r="D170">
        <v>59</v>
      </c>
      <c r="E170">
        <v>9</v>
      </c>
      <c r="F170" t="s">
        <v>883</v>
      </c>
      <c r="G170" t="s">
        <v>884</v>
      </c>
    </row>
    <row r="171" spans="2:7" x14ac:dyDescent="0.35">
      <c r="B171" t="s">
        <v>132</v>
      </c>
      <c r="C171">
        <v>560</v>
      </c>
      <c r="D171">
        <v>44</v>
      </c>
      <c r="E171">
        <v>3</v>
      </c>
      <c r="F171" t="s">
        <v>883</v>
      </c>
      <c r="G171" t="s">
        <v>884</v>
      </c>
    </row>
    <row r="172" spans="2:7" x14ac:dyDescent="0.35">
      <c r="B172" t="s">
        <v>770</v>
      </c>
      <c r="C172">
        <v>54</v>
      </c>
      <c r="D172">
        <v>12</v>
      </c>
      <c r="E172">
        <v>3</v>
      </c>
      <c r="F172" t="s">
        <v>883</v>
      </c>
      <c r="G172" t="s">
        <v>884</v>
      </c>
    </row>
    <row r="173" spans="2:7" x14ac:dyDescent="0.35">
      <c r="B173" t="s">
        <v>774</v>
      </c>
      <c r="C173">
        <v>230</v>
      </c>
      <c r="D173">
        <v>5</v>
      </c>
      <c r="E173">
        <v>2</v>
      </c>
      <c r="F173" t="s">
        <v>883</v>
      </c>
      <c r="G173" t="s">
        <v>884</v>
      </c>
    </row>
    <row r="174" spans="2:7" x14ac:dyDescent="0.35">
      <c r="B174" t="s">
        <v>783</v>
      </c>
      <c r="C174">
        <v>71</v>
      </c>
      <c r="D174">
        <v>32</v>
      </c>
      <c r="E174">
        <v>3</v>
      </c>
      <c r="F174" t="s">
        <v>883</v>
      </c>
      <c r="G174" t="s">
        <v>884</v>
      </c>
    </row>
    <row r="175" spans="2:7" x14ac:dyDescent="0.35">
      <c r="B175" t="s">
        <v>792</v>
      </c>
      <c r="C175">
        <v>18</v>
      </c>
      <c r="D175">
        <v>4</v>
      </c>
      <c r="E175">
        <v>1</v>
      </c>
      <c r="F175" t="s">
        <v>883</v>
      </c>
      <c r="G175" t="s">
        <v>884</v>
      </c>
    </row>
    <row r="176" spans="2:7" x14ac:dyDescent="0.35">
      <c r="B176" t="s">
        <v>796</v>
      </c>
      <c r="C176">
        <v>152</v>
      </c>
      <c r="D176">
        <v>-3</v>
      </c>
      <c r="E176">
        <v>5</v>
      </c>
      <c r="F176" t="s">
        <v>883</v>
      </c>
      <c r="G176" t="s">
        <v>884</v>
      </c>
    </row>
    <row r="177" spans="2:7" x14ac:dyDescent="0.35">
      <c r="B177" t="s">
        <v>796</v>
      </c>
      <c r="C177">
        <v>215</v>
      </c>
      <c r="D177">
        <v>-30</v>
      </c>
      <c r="E177">
        <v>2</v>
      </c>
      <c r="F177" t="s">
        <v>883</v>
      </c>
      <c r="G177" t="s">
        <v>884</v>
      </c>
    </row>
    <row r="178" spans="2:7" x14ac:dyDescent="0.35">
      <c r="B178" t="s">
        <v>801</v>
      </c>
      <c r="C178">
        <v>276</v>
      </c>
      <c r="D178">
        <v>52</v>
      </c>
      <c r="E178">
        <v>5</v>
      </c>
      <c r="F178" t="s">
        <v>883</v>
      </c>
      <c r="G178" t="s">
        <v>884</v>
      </c>
    </row>
    <row r="179" spans="2:7" x14ac:dyDescent="0.35">
      <c r="B179" t="s">
        <v>801</v>
      </c>
      <c r="C179">
        <v>141</v>
      </c>
      <c r="D179">
        <v>7</v>
      </c>
      <c r="E179">
        <v>7</v>
      </c>
      <c r="F179" t="s">
        <v>883</v>
      </c>
      <c r="G179" t="s">
        <v>884</v>
      </c>
    </row>
    <row r="180" spans="2:7" x14ac:dyDescent="0.35">
      <c r="B180" t="s">
        <v>801</v>
      </c>
      <c r="C180">
        <v>113</v>
      </c>
      <c r="D180">
        <v>28</v>
      </c>
      <c r="E180">
        <v>2</v>
      </c>
      <c r="F180" t="s">
        <v>883</v>
      </c>
      <c r="G180" t="s">
        <v>884</v>
      </c>
    </row>
    <row r="181" spans="2:7" x14ac:dyDescent="0.35">
      <c r="B181" t="s">
        <v>183</v>
      </c>
      <c r="C181">
        <v>498</v>
      </c>
      <c r="D181">
        <v>-116</v>
      </c>
      <c r="E181">
        <v>4</v>
      </c>
      <c r="F181" t="s">
        <v>883</v>
      </c>
      <c r="G181" t="s">
        <v>884</v>
      </c>
    </row>
    <row r="182" spans="2:7" x14ac:dyDescent="0.35">
      <c r="B182" t="s">
        <v>802</v>
      </c>
      <c r="C182">
        <v>147</v>
      </c>
      <c r="D182">
        <v>44</v>
      </c>
      <c r="E182">
        <v>3</v>
      </c>
      <c r="F182" t="s">
        <v>883</v>
      </c>
      <c r="G182" t="s">
        <v>884</v>
      </c>
    </row>
    <row r="183" spans="2:7" x14ac:dyDescent="0.35">
      <c r="B183" t="s">
        <v>809</v>
      </c>
      <c r="C183">
        <v>10</v>
      </c>
      <c r="D183">
        <v>-1</v>
      </c>
      <c r="E183">
        <v>1</v>
      </c>
      <c r="F183" t="s">
        <v>883</v>
      </c>
      <c r="G183" t="s">
        <v>884</v>
      </c>
    </row>
    <row r="184" spans="2:7" x14ac:dyDescent="0.35">
      <c r="B184" t="s">
        <v>222</v>
      </c>
      <c r="C184">
        <v>21</v>
      </c>
      <c r="D184">
        <v>8</v>
      </c>
      <c r="E184">
        <v>2</v>
      </c>
      <c r="F184" t="s">
        <v>883</v>
      </c>
      <c r="G184" t="s">
        <v>884</v>
      </c>
    </row>
    <row r="185" spans="2:7" x14ac:dyDescent="0.35">
      <c r="B185" t="s">
        <v>816</v>
      </c>
      <c r="C185">
        <v>128</v>
      </c>
      <c r="D185">
        <v>55</v>
      </c>
      <c r="E185">
        <v>1</v>
      </c>
      <c r="F185" t="s">
        <v>883</v>
      </c>
      <c r="G185" t="s">
        <v>884</v>
      </c>
    </row>
    <row r="186" spans="2:7" x14ac:dyDescent="0.35">
      <c r="B186" t="s">
        <v>831</v>
      </c>
      <c r="C186">
        <v>47</v>
      </c>
      <c r="D186">
        <v>15</v>
      </c>
      <c r="E186">
        <v>5</v>
      </c>
      <c r="F186" t="s">
        <v>883</v>
      </c>
      <c r="G186" t="s">
        <v>884</v>
      </c>
    </row>
    <row r="187" spans="2:7" x14ac:dyDescent="0.35">
      <c r="B187" t="s">
        <v>834</v>
      </c>
      <c r="C187">
        <v>291</v>
      </c>
      <c r="D187">
        <v>119</v>
      </c>
      <c r="E187">
        <v>11</v>
      </c>
      <c r="F187" t="s">
        <v>883</v>
      </c>
      <c r="G187" t="s">
        <v>884</v>
      </c>
    </row>
    <row r="188" spans="2:7" x14ac:dyDescent="0.35">
      <c r="B188" t="s">
        <v>842</v>
      </c>
      <c r="C188">
        <v>179</v>
      </c>
      <c r="D188">
        <v>77</v>
      </c>
      <c r="E188">
        <v>1</v>
      </c>
      <c r="F188" t="s">
        <v>883</v>
      </c>
      <c r="G188" t="s">
        <v>884</v>
      </c>
    </row>
    <row r="189" spans="2:7" x14ac:dyDescent="0.35">
      <c r="B189" t="s">
        <v>843</v>
      </c>
      <c r="C189">
        <v>169</v>
      </c>
      <c r="D189">
        <v>55</v>
      </c>
      <c r="E189">
        <v>4</v>
      </c>
      <c r="F189" t="s">
        <v>883</v>
      </c>
      <c r="G189" t="s">
        <v>884</v>
      </c>
    </row>
    <row r="190" spans="2:7" x14ac:dyDescent="0.35">
      <c r="B190" t="s">
        <v>843</v>
      </c>
      <c r="C190">
        <v>79</v>
      </c>
      <c r="D190">
        <v>32</v>
      </c>
      <c r="E190">
        <v>3</v>
      </c>
      <c r="F190" t="s">
        <v>883</v>
      </c>
      <c r="G190" t="s">
        <v>884</v>
      </c>
    </row>
    <row r="191" spans="2:7" x14ac:dyDescent="0.35">
      <c r="B191" t="s">
        <v>844</v>
      </c>
      <c r="C191">
        <v>382</v>
      </c>
      <c r="D191">
        <v>119</v>
      </c>
      <c r="E191">
        <v>2</v>
      </c>
      <c r="F191" t="s">
        <v>883</v>
      </c>
      <c r="G191" t="s">
        <v>884</v>
      </c>
    </row>
    <row r="192" spans="2:7" x14ac:dyDescent="0.35">
      <c r="B192" t="s">
        <v>845</v>
      </c>
      <c r="C192">
        <v>145</v>
      </c>
      <c r="D192">
        <v>0</v>
      </c>
      <c r="E192">
        <v>3</v>
      </c>
      <c r="F192" t="s">
        <v>883</v>
      </c>
      <c r="G192" t="s">
        <v>884</v>
      </c>
    </row>
    <row r="193" spans="2:7" x14ac:dyDescent="0.35">
      <c r="B193" t="s">
        <v>846</v>
      </c>
      <c r="C193">
        <v>425</v>
      </c>
      <c r="D193">
        <v>208</v>
      </c>
      <c r="E193">
        <v>7</v>
      </c>
      <c r="F193" t="s">
        <v>883</v>
      </c>
      <c r="G193" t="s">
        <v>884</v>
      </c>
    </row>
    <row r="194" spans="2:7" x14ac:dyDescent="0.35">
      <c r="B194" t="s">
        <v>345</v>
      </c>
      <c r="C194">
        <v>88</v>
      </c>
      <c r="D194">
        <v>20</v>
      </c>
      <c r="E194">
        <v>2</v>
      </c>
      <c r="F194" t="s">
        <v>883</v>
      </c>
      <c r="G194" t="s">
        <v>884</v>
      </c>
    </row>
    <row r="195" spans="2:7" x14ac:dyDescent="0.35">
      <c r="B195" t="s">
        <v>141</v>
      </c>
      <c r="C195">
        <v>43</v>
      </c>
      <c r="D195">
        <v>11</v>
      </c>
      <c r="E195">
        <v>1</v>
      </c>
      <c r="F195" t="s">
        <v>883</v>
      </c>
      <c r="G195" t="s">
        <v>884</v>
      </c>
    </row>
    <row r="196" spans="2:7" x14ac:dyDescent="0.35">
      <c r="B196" t="s">
        <v>847</v>
      </c>
      <c r="C196">
        <v>424</v>
      </c>
      <c r="D196">
        <v>161</v>
      </c>
      <c r="E196">
        <v>2</v>
      </c>
      <c r="F196" t="s">
        <v>883</v>
      </c>
      <c r="G196" t="s">
        <v>884</v>
      </c>
    </row>
    <row r="197" spans="2:7" x14ac:dyDescent="0.35">
      <c r="B197" t="s">
        <v>346</v>
      </c>
      <c r="C197">
        <v>382</v>
      </c>
      <c r="D197">
        <v>68</v>
      </c>
      <c r="E197">
        <v>3</v>
      </c>
      <c r="F197" t="s">
        <v>883</v>
      </c>
      <c r="G197" t="s">
        <v>884</v>
      </c>
    </row>
    <row r="198" spans="2:7" x14ac:dyDescent="0.35">
      <c r="B198" t="s">
        <v>142</v>
      </c>
      <c r="C198">
        <v>642</v>
      </c>
      <c r="D198">
        <v>180</v>
      </c>
      <c r="E198">
        <v>5</v>
      </c>
      <c r="F198" t="s">
        <v>883</v>
      </c>
      <c r="G198" t="s">
        <v>884</v>
      </c>
    </row>
    <row r="199" spans="2:7" x14ac:dyDescent="0.35">
      <c r="B199" t="s">
        <v>347</v>
      </c>
      <c r="C199">
        <v>22</v>
      </c>
      <c r="D199">
        <v>0</v>
      </c>
      <c r="E199">
        <v>2</v>
      </c>
      <c r="F199" t="s">
        <v>883</v>
      </c>
      <c r="G199" t="s">
        <v>884</v>
      </c>
    </row>
    <row r="200" spans="2:7" x14ac:dyDescent="0.35">
      <c r="B200" t="s">
        <v>225</v>
      </c>
      <c r="C200">
        <v>86</v>
      </c>
      <c r="D200">
        <v>22</v>
      </c>
      <c r="E200">
        <v>2</v>
      </c>
      <c r="F200" t="s">
        <v>883</v>
      </c>
      <c r="G200" t="s">
        <v>884</v>
      </c>
    </row>
    <row r="201" spans="2:7" x14ac:dyDescent="0.35">
      <c r="B201" t="s">
        <v>188</v>
      </c>
      <c r="C201">
        <v>1120</v>
      </c>
      <c r="D201">
        <v>199</v>
      </c>
      <c r="E201">
        <v>6</v>
      </c>
      <c r="F201" t="s">
        <v>883</v>
      </c>
      <c r="G201" t="s">
        <v>884</v>
      </c>
    </row>
    <row r="202" spans="2:7" x14ac:dyDescent="0.35">
      <c r="B202" t="s">
        <v>144</v>
      </c>
      <c r="C202">
        <v>29</v>
      </c>
      <c r="D202">
        <v>9</v>
      </c>
      <c r="E202">
        <v>3</v>
      </c>
      <c r="F202" t="s">
        <v>883</v>
      </c>
      <c r="G202" t="s">
        <v>884</v>
      </c>
    </row>
    <row r="203" spans="2:7" x14ac:dyDescent="0.35">
      <c r="B203" t="s">
        <v>189</v>
      </c>
      <c r="C203">
        <v>19</v>
      </c>
      <c r="D203">
        <v>4</v>
      </c>
      <c r="E203">
        <v>2</v>
      </c>
      <c r="F203" t="s">
        <v>883</v>
      </c>
      <c r="G203" t="s">
        <v>884</v>
      </c>
    </row>
    <row r="204" spans="2:7" x14ac:dyDescent="0.35">
      <c r="B204" t="s">
        <v>862</v>
      </c>
      <c r="C204">
        <v>93</v>
      </c>
      <c r="D204">
        <v>-84</v>
      </c>
      <c r="E204">
        <v>3</v>
      </c>
      <c r="F204" t="s">
        <v>883</v>
      </c>
      <c r="G204" t="s">
        <v>884</v>
      </c>
    </row>
    <row r="205" spans="2:7" x14ac:dyDescent="0.35">
      <c r="B205" t="s">
        <v>862</v>
      </c>
      <c r="C205">
        <v>637</v>
      </c>
      <c r="D205">
        <v>50</v>
      </c>
      <c r="E205">
        <v>5</v>
      </c>
      <c r="F205" t="s">
        <v>883</v>
      </c>
      <c r="G205" t="s">
        <v>884</v>
      </c>
    </row>
    <row r="206" spans="2:7" x14ac:dyDescent="0.35">
      <c r="B206" t="s">
        <v>864</v>
      </c>
      <c r="C206">
        <v>34</v>
      </c>
      <c r="D206">
        <v>3</v>
      </c>
      <c r="E206">
        <v>3</v>
      </c>
      <c r="F206" t="s">
        <v>883</v>
      </c>
      <c r="G206" t="s">
        <v>884</v>
      </c>
    </row>
    <row r="207" spans="2:7" x14ac:dyDescent="0.35">
      <c r="B207" t="s">
        <v>866</v>
      </c>
      <c r="C207">
        <v>86</v>
      </c>
      <c r="D207">
        <v>22</v>
      </c>
      <c r="E207">
        <v>2</v>
      </c>
      <c r="F207" t="s">
        <v>883</v>
      </c>
      <c r="G207" t="s">
        <v>884</v>
      </c>
    </row>
    <row r="208" spans="2:7" x14ac:dyDescent="0.35">
      <c r="B208" t="s">
        <v>866</v>
      </c>
      <c r="C208">
        <v>132</v>
      </c>
      <c r="D208">
        <v>-10</v>
      </c>
      <c r="E208">
        <v>3</v>
      </c>
      <c r="F208" t="s">
        <v>883</v>
      </c>
      <c r="G208" t="s">
        <v>884</v>
      </c>
    </row>
    <row r="209" spans="2:7" x14ac:dyDescent="0.35">
      <c r="B209" t="s">
        <v>868</v>
      </c>
      <c r="C209">
        <v>119</v>
      </c>
      <c r="D209">
        <v>56</v>
      </c>
      <c r="E209">
        <v>7</v>
      </c>
      <c r="F209" t="s">
        <v>883</v>
      </c>
      <c r="G209" t="s">
        <v>884</v>
      </c>
    </row>
    <row r="210" spans="2:7" x14ac:dyDescent="0.35">
      <c r="B210" t="s">
        <v>227</v>
      </c>
      <c r="C210">
        <v>33</v>
      </c>
      <c r="D210">
        <v>-1</v>
      </c>
      <c r="E210">
        <v>1</v>
      </c>
      <c r="F210" t="s">
        <v>883</v>
      </c>
      <c r="G210" t="s">
        <v>884</v>
      </c>
    </row>
    <row r="211" spans="2:7" x14ac:dyDescent="0.35">
      <c r="B211" t="s">
        <v>227</v>
      </c>
      <c r="C211">
        <v>148</v>
      </c>
      <c r="D211">
        <v>25</v>
      </c>
      <c r="E211">
        <v>3</v>
      </c>
      <c r="F211" t="s">
        <v>883</v>
      </c>
      <c r="G211" t="s">
        <v>884</v>
      </c>
    </row>
    <row r="212" spans="2:7" x14ac:dyDescent="0.35">
      <c r="B212" t="s">
        <v>875</v>
      </c>
      <c r="C212">
        <v>103</v>
      </c>
      <c r="D212">
        <v>46</v>
      </c>
      <c r="E212">
        <v>2</v>
      </c>
      <c r="F212" t="s">
        <v>883</v>
      </c>
      <c r="G212" t="s">
        <v>884</v>
      </c>
    </row>
    <row r="213" spans="2:7" x14ac:dyDescent="0.35">
      <c r="B213" t="s">
        <v>877</v>
      </c>
      <c r="C213">
        <v>409</v>
      </c>
      <c r="D213">
        <v>86</v>
      </c>
      <c r="E213">
        <v>3</v>
      </c>
      <c r="F213" t="s">
        <v>883</v>
      </c>
      <c r="G213" t="s">
        <v>884</v>
      </c>
    </row>
    <row r="214" spans="2:7" hidden="1" x14ac:dyDescent="0.35">
      <c r="B214" t="s">
        <v>351</v>
      </c>
      <c r="C214">
        <v>8</v>
      </c>
      <c r="D214">
        <v>-2</v>
      </c>
      <c r="E214">
        <v>3</v>
      </c>
      <c r="F214" t="s">
        <v>883</v>
      </c>
      <c r="G214" t="s">
        <v>885</v>
      </c>
    </row>
    <row r="215" spans="2:7" hidden="1" x14ac:dyDescent="0.35">
      <c r="B215" t="s">
        <v>146</v>
      </c>
      <c r="C215">
        <v>12</v>
      </c>
      <c r="D215">
        <v>1</v>
      </c>
      <c r="E215">
        <v>2</v>
      </c>
      <c r="F215" t="s">
        <v>883</v>
      </c>
      <c r="G215" t="s">
        <v>885</v>
      </c>
    </row>
    <row r="216" spans="2:7" hidden="1" x14ac:dyDescent="0.35">
      <c r="B216" t="s">
        <v>371</v>
      </c>
      <c r="C216">
        <v>257</v>
      </c>
      <c r="D216">
        <v>23</v>
      </c>
      <c r="E216">
        <v>5</v>
      </c>
      <c r="F216" t="s">
        <v>883</v>
      </c>
      <c r="G216" t="s">
        <v>885</v>
      </c>
    </row>
    <row r="217" spans="2:7" hidden="1" x14ac:dyDescent="0.35">
      <c r="B217" t="s">
        <v>397</v>
      </c>
      <c r="C217">
        <v>68</v>
      </c>
      <c r="D217">
        <v>20</v>
      </c>
      <c r="E217">
        <v>5</v>
      </c>
      <c r="F217" t="s">
        <v>883</v>
      </c>
      <c r="G217" t="s">
        <v>885</v>
      </c>
    </row>
    <row r="218" spans="2:7" hidden="1" x14ac:dyDescent="0.35">
      <c r="B218" t="s">
        <v>401</v>
      </c>
      <c r="C218">
        <v>42</v>
      </c>
      <c r="D218">
        <v>12</v>
      </c>
      <c r="E218">
        <v>5</v>
      </c>
      <c r="F218" t="s">
        <v>883</v>
      </c>
      <c r="G218" t="s">
        <v>885</v>
      </c>
    </row>
    <row r="219" spans="2:7" hidden="1" x14ac:dyDescent="0.35">
      <c r="B219" t="s">
        <v>401</v>
      </c>
      <c r="C219">
        <v>22</v>
      </c>
      <c r="D219">
        <v>-2</v>
      </c>
      <c r="E219">
        <v>3</v>
      </c>
      <c r="F219" t="s">
        <v>883</v>
      </c>
      <c r="G219" t="s">
        <v>885</v>
      </c>
    </row>
    <row r="220" spans="2:7" hidden="1" x14ac:dyDescent="0.35">
      <c r="B220" t="s">
        <v>401</v>
      </c>
      <c r="C220">
        <v>14</v>
      </c>
      <c r="D220">
        <v>-2</v>
      </c>
      <c r="E220">
        <v>3</v>
      </c>
      <c r="F220" t="s">
        <v>883</v>
      </c>
      <c r="G220" t="s">
        <v>885</v>
      </c>
    </row>
    <row r="221" spans="2:7" hidden="1" x14ac:dyDescent="0.35">
      <c r="B221" t="s">
        <v>408</v>
      </c>
      <c r="C221">
        <v>12</v>
      </c>
      <c r="D221">
        <v>0</v>
      </c>
      <c r="E221">
        <v>2</v>
      </c>
      <c r="F221" t="s">
        <v>883</v>
      </c>
      <c r="G221" t="s">
        <v>885</v>
      </c>
    </row>
    <row r="222" spans="2:7" hidden="1" x14ac:dyDescent="0.35">
      <c r="B222" t="s">
        <v>418</v>
      </c>
      <c r="C222">
        <v>26</v>
      </c>
      <c r="D222">
        <v>12</v>
      </c>
      <c r="E222">
        <v>3</v>
      </c>
      <c r="F222" t="s">
        <v>883</v>
      </c>
      <c r="G222" t="s">
        <v>885</v>
      </c>
    </row>
    <row r="223" spans="2:7" hidden="1" x14ac:dyDescent="0.35">
      <c r="B223" t="s">
        <v>420</v>
      </c>
      <c r="C223">
        <v>97</v>
      </c>
      <c r="D223">
        <v>29</v>
      </c>
      <c r="E223">
        <v>2</v>
      </c>
      <c r="F223" t="s">
        <v>883</v>
      </c>
      <c r="G223" t="s">
        <v>885</v>
      </c>
    </row>
    <row r="224" spans="2:7" hidden="1" x14ac:dyDescent="0.35">
      <c r="B224" t="s">
        <v>435</v>
      </c>
      <c r="C224">
        <v>40</v>
      </c>
      <c r="D224">
        <v>16</v>
      </c>
      <c r="E224">
        <v>3</v>
      </c>
      <c r="F224" t="s">
        <v>883</v>
      </c>
      <c r="G224" t="s">
        <v>885</v>
      </c>
    </row>
    <row r="225" spans="2:7" hidden="1" x14ac:dyDescent="0.35">
      <c r="B225" t="s">
        <v>197</v>
      </c>
      <c r="C225">
        <v>154</v>
      </c>
      <c r="D225">
        <v>39</v>
      </c>
      <c r="E225">
        <v>3</v>
      </c>
      <c r="F225" t="s">
        <v>883</v>
      </c>
      <c r="G225" t="s">
        <v>885</v>
      </c>
    </row>
    <row r="226" spans="2:7" hidden="1" x14ac:dyDescent="0.35">
      <c r="B226" t="s">
        <v>437</v>
      </c>
      <c r="C226">
        <v>314</v>
      </c>
      <c r="D226">
        <v>-239</v>
      </c>
      <c r="E226">
        <v>13</v>
      </c>
      <c r="F226" t="s">
        <v>883</v>
      </c>
      <c r="G226" t="s">
        <v>885</v>
      </c>
    </row>
    <row r="227" spans="2:7" hidden="1" x14ac:dyDescent="0.35">
      <c r="B227" t="s">
        <v>443</v>
      </c>
      <c r="C227">
        <v>50</v>
      </c>
      <c r="D227">
        <v>-44</v>
      </c>
      <c r="E227">
        <v>2</v>
      </c>
      <c r="F227" t="s">
        <v>883</v>
      </c>
      <c r="G227" t="s">
        <v>885</v>
      </c>
    </row>
    <row r="228" spans="2:7" hidden="1" x14ac:dyDescent="0.35">
      <c r="B228" t="s">
        <v>453</v>
      </c>
      <c r="C228">
        <v>25</v>
      </c>
      <c r="D228">
        <v>-2</v>
      </c>
      <c r="E228">
        <v>5</v>
      </c>
      <c r="F228" t="s">
        <v>883</v>
      </c>
      <c r="G228" t="s">
        <v>885</v>
      </c>
    </row>
    <row r="229" spans="2:7" hidden="1" x14ac:dyDescent="0.35">
      <c r="B229" t="s">
        <v>453</v>
      </c>
      <c r="C229">
        <v>9</v>
      </c>
      <c r="D229">
        <v>-6</v>
      </c>
      <c r="E229">
        <v>2</v>
      </c>
      <c r="F229" t="s">
        <v>883</v>
      </c>
      <c r="G229" t="s">
        <v>885</v>
      </c>
    </row>
    <row r="230" spans="2:7" hidden="1" x14ac:dyDescent="0.35">
      <c r="B230" t="s">
        <v>237</v>
      </c>
      <c r="C230">
        <v>34</v>
      </c>
      <c r="D230">
        <v>12</v>
      </c>
      <c r="E230">
        <v>3</v>
      </c>
      <c r="F230" t="s">
        <v>883</v>
      </c>
      <c r="G230" t="s">
        <v>885</v>
      </c>
    </row>
    <row r="231" spans="2:7" hidden="1" x14ac:dyDescent="0.35">
      <c r="B231" t="s">
        <v>15</v>
      </c>
      <c r="C231">
        <v>44</v>
      </c>
      <c r="D231">
        <v>-26</v>
      </c>
      <c r="E231">
        <v>3</v>
      </c>
      <c r="F231" t="s">
        <v>883</v>
      </c>
      <c r="G231" t="s">
        <v>885</v>
      </c>
    </row>
    <row r="232" spans="2:7" hidden="1" x14ac:dyDescent="0.35">
      <c r="B232" t="s">
        <v>15</v>
      </c>
      <c r="C232">
        <v>7</v>
      </c>
      <c r="D232">
        <v>-4</v>
      </c>
      <c r="E232">
        <v>3</v>
      </c>
      <c r="F232" t="s">
        <v>883</v>
      </c>
      <c r="G232" t="s">
        <v>885</v>
      </c>
    </row>
    <row r="233" spans="2:7" hidden="1" x14ac:dyDescent="0.35">
      <c r="B233" t="s">
        <v>15</v>
      </c>
      <c r="C233">
        <v>6</v>
      </c>
      <c r="D233">
        <v>-3</v>
      </c>
      <c r="E233">
        <v>1</v>
      </c>
      <c r="F233" t="s">
        <v>883</v>
      </c>
      <c r="G233" t="s">
        <v>885</v>
      </c>
    </row>
    <row r="234" spans="2:7" hidden="1" x14ac:dyDescent="0.35">
      <c r="B234" t="s">
        <v>199</v>
      </c>
      <c r="C234">
        <v>6</v>
      </c>
      <c r="D234">
        <v>3</v>
      </c>
      <c r="E234">
        <v>1</v>
      </c>
      <c r="F234" t="s">
        <v>883</v>
      </c>
      <c r="G234" t="s">
        <v>885</v>
      </c>
    </row>
    <row r="235" spans="2:7" hidden="1" x14ac:dyDescent="0.35">
      <c r="B235" t="s">
        <v>199</v>
      </c>
      <c r="C235">
        <v>24</v>
      </c>
      <c r="D235">
        <v>-1</v>
      </c>
      <c r="E235">
        <v>2</v>
      </c>
      <c r="F235" t="s">
        <v>883</v>
      </c>
      <c r="G235" t="s">
        <v>885</v>
      </c>
    </row>
    <row r="236" spans="2:7" hidden="1" x14ac:dyDescent="0.35">
      <c r="B236" t="s">
        <v>199</v>
      </c>
      <c r="C236">
        <v>56</v>
      </c>
      <c r="D236">
        <v>18</v>
      </c>
      <c r="E236">
        <v>2</v>
      </c>
      <c r="F236" t="s">
        <v>883</v>
      </c>
      <c r="G236" t="s">
        <v>885</v>
      </c>
    </row>
    <row r="237" spans="2:7" hidden="1" x14ac:dyDescent="0.35">
      <c r="B237" t="s">
        <v>199</v>
      </c>
      <c r="C237">
        <v>13</v>
      </c>
      <c r="D237">
        <v>-1</v>
      </c>
      <c r="E237">
        <v>3</v>
      </c>
      <c r="F237" t="s">
        <v>883</v>
      </c>
      <c r="G237" t="s">
        <v>885</v>
      </c>
    </row>
    <row r="238" spans="2:7" hidden="1" x14ac:dyDescent="0.35">
      <c r="B238" t="s">
        <v>462</v>
      </c>
      <c r="C238">
        <v>19</v>
      </c>
      <c r="D238">
        <v>-15</v>
      </c>
      <c r="E238">
        <v>3</v>
      </c>
      <c r="F238" t="s">
        <v>883</v>
      </c>
      <c r="G238" t="s">
        <v>885</v>
      </c>
    </row>
    <row r="239" spans="2:7" hidden="1" x14ac:dyDescent="0.35">
      <c r="B239" t="s">
        <v>462</v>
      </c>
      <c r="C239">
        <v>7</v>
      </c>
      <c r="D239">
        <v>-1</v>
      </c>
      <c r="E239">
        <v>2</v>
      </c>
      <c r="F239" t="s">
        <v>883</v>
      </c>
      <c r="G239" t="s">
        <v>885</v>
      </c>
    </row>
    <row r="240" spans="2:7" hidden="1" x14ac:dyDescent="0.35">
      <c r="B240" t="s">
        <v>470</v>
      </c>
      <c r="C240">
        <v>11</v>
      </c>
      <c r="D240">
        <v>-2</v>
      </c>
      <c r="E240">
        <v>4</v>
      </c>
      <c r="F240" t="s">
        <v>883</v>
      </c>
      <c r="G240" t="s">
        <v>885</v>
      </c>
    </row>
    <row r="241" spans="2:7" hidden="1" x14ac:dyDescent="0.35">
      <c r="B241" t="s">
        <v>474</v>
      </c>
      <c r="C241">
        <v>24</v>
      </c>
      <c r="D241">
        <v>1</v>
      </c>
      <c r="E241">
        <v>2</v>
      </c>
      <c r="F241" t="s">
        <v>883</v>
      </c>
      <c r="G241" t="s">
        <v>885</v>
      </c>
    </row>
    <row r="242" spans="2:7" hidden="1" x14ac:dyDescent="0.35">
      <c r="B242" t="s">
        <v>474</v>
      </c>
      <c r="C242">
        <v>14</v>
      </c>
      <c r="D242">
        <v>2</v>
      </c>
      <c r="E242">
        <v>1</v>
      </c>
      <c r="F242" t="s">
        <v>883</v>
      </c>
      <c r="G242" t="s">
        <v>885</v>
      </c>
    </row>
    <row r="243" spans="2:7" hidden="1" x14ac:dyDescent="0.35">
      <c r="B243" t="s">
        <v>157</v>
      </c>
      <c r="C243">
        <v>76</v>
      </c>
      <c r="D243">
        <v>-72</v>
      </c>
      <c r="E243">
        <v>9</v>
      </c>
      <c r="F243" t="s">
        <v>883</v>
      </c>
      <c r="G243" t="s">
        <v>885</v>
      </c>
    </row>
    <row r="244" spans="2:7" hidden="1" x14ac:dyDescent="0.35">
      <c r="B244" t="s">
        <v>498</v>
      </c>
      <c r="C244">
        <v>27</v>
      </c>
      <c r="D244">
        <v>-6</v>
      </c>
      <c r="E244">
        <v>4</v>
      </c>
      <c r="F244" t="s">
        <v>883</v>
      </c>
      <c r="G244" t="s">
        <v>885</v>
      </c>
    </row>
    <row r="245" spans="2:7" hidden="1" x14ac:dyDescent="0.35">
      <c r="B245" t="s">
        <v>498</v>
      </c>
      <c r="C245">
        <v>7</v>
      </c>
      <c r="D245">
        <v>-2</v>
      </c>
      <c r="E245">
        <v>1</v>
      </c>
      <c r="F245" t="s">
        <v>883</v>
      </c>
      <c r="G245" t="s">
        <v>885</v>
      </c>
    </row>
    <row r="246" spans="2:7" hidden="1" x14ac:dyDescent="0.35">
      <c r="B246" t="s">
        <v>251</v>
      </c>
      <c r="C246">
        <v>7</v>
      </c>
      <c r="D246">
        <v>-3</v>
      </c>
      <c r="E246">
        <v>2</v>
      </c>
      <c r="F246" t="s">
        <v>883</v>
      </c>
      <c r="G246" t="s">
        <v>885</v>
      </c>
    </row>
    <row r="247" spans="2:7" hidden="1" x14ac:dyDescent="0.35">
      <c r="B247" t="s">
        <v>31</v>
      </c>
      <c r="C247">
        <v>33</v>
      </c>
      <c r="D247">
        <v>-12</v>
      </c>
      <c r="E247">
        <v>5</v>
      </c>
      <c r="F247" t="s">
        <v>883</v>
      </c>
      <c r="G247" t="s">
        <v>885</v>
      </c>
    </row>
    <row r="248" spans="2:7" hidden="1" x14ac:dyDescent="0.35">
      <c r="B248" t="s">
        <v>33</v>
      </c>
      <c r="C248">
        <v>32</v>
      </c>
      <c r="D248">
        <v>-5</v>
      </c>
      <c r="E248">
        <v>5</v>
      </c>
      <c r="F248" t="s">
        <v>883</v>
      </c>
      <c r="G248" t="s">
        <v>885</v>
      </c>
    </row>
    <row r="249" spans="2:7" hidden="1" x14ac:dyDescent="0.35">
      <c r="B249" t="s">
        <v>33</v>
      </c>
      <c r="C249">
        <v>231</v>
      </c>
      <c r="D249">
        <v>-190</v>
      </c>
      <c r="E249">
        <v>9</v>
      </c>
      <c r="F249" t="s">
        <v>883</v>
      </c>
      <c r="G249" t="s">
        <v>885</v>
      </c>
    </row>
    <row r="250" spans="2:7" hidden="1" x14ac:dyDescent="0.35">
      <c r="B250" t="s">
        <v>159</v>
      </c>
      <c r="C250">
        <v>100</v>
      </c>
      <c r="D250">
        <v>-58</v>
      </c>
      <c r="E250">
        <v>4</v>
      </c>
      <c r="F250" t="s">
        <v>883</v>
      </c>
      <c r="G250" t="s">
        <v>885</v>
      </c>
    </row>
    <row r="251" spans="2:7" hidden="1" x14ac:dyDescent="0.35">
      <c r="B251" t="s">
        <v>508</v>
      </c>
      <c r="C251">
        <v>11</v>
      </c>
      <c r="D251">
        <v>-5</v>
      </c>
      <c r="E251">
        <v>2</v>
      </c>
      <c r="F251" t="s">
        <v>883</v>
      </c>
      <c r="G251" t="s">
        <v>885</v>
      </c>
    </row>
    <row r="252" spans="2:7" hidden="1" x14ac:dyDescent="0.35">
      <c r="B252" t="s">
        <v>521</v>
      </c>
      <c r="C252">
        <v>23</v>
      </c>
      <c r="D252">
        <v>-5</v>
      </c>
      <c r="E252">
        <v>7</v>
      </c>
      <c r="F252" t="s">
        <v>883</v>
      </c>
      <c r="G252" t="s">
        <v>885</v>
      </c>
    </row>
    <row r="253" spans="2:7" hidden="1" x14ac:dyDescent="0.35">
      <c r="B253" t="s">
        <v>523</v>
      </c>
      <c r="C253">
        <v>18</v>
      </c>
      <c r="D253">
        <v>8</v>
      </c>
      <c r="E253">
        <v>2</v>
      </c>
      <c r="F253" t="s">
        <v>883</v>
      </c>
      <c r="G253" t="s">
        <v>885</v>
      </c>
    </row>
    <row r="254" spans="2:7" hidden="1" x14ac:dyDescent="0.35">
      <c r="B254" t="s">
        <v>264</v>
      </c>
      <c r="C254">
        <v>23</v>
      </c>
      <c r="D254">
        <v>-6</v>
      </c>
      <c r="E254">
        <v>4</v>
      </c>
      <c r="F254" t="s">
        <v>883</v>
      </c>
      <c r="G254" t="s">
        <v>885</v>
      </c>
    </row>
    <row r="255" spans="2:7" hidden="1" x14ac:dyDescent="0.35">
      <c r="B255" t="s">
        <v>529</v>
      </c>
      <c r="C255">
        <v>12</v>
      </c>
      <c r="D255">
        <v>-2</v>
      </c>
      <c r="E255">
        <v>3</v>
      </c>
      <c r="F255" t="s">
        <v>883</v>
      </c>
      <c r="G255" t="s">
        <v>885</v>
      </c>
    </row>
    <row r="256" spans="2:7" hidden="1" x14ac:dyDescent="0.35">
      <c r="B256" t="s">
        <v>529</v>
      </c>
      <c r="C256">
        <v>15</v>
      </c>
      <c r="D256">
        <v>-7</v>
      </c>
      <c r="E256">
        <v>1</v>
      </c>
      <c r="F256" t="s">
        <v>883</v>
      </c>
      <c r="G256" t="s">
        <v>885</v>
      </c>
    </row>
    <row r="257" spans="2:7" hidden="1" x14ac:dyDescent="0.35">
      <c r="B257" t="s">
        <v>536</v>
      </c>
      <c r="C257">
        <v>56</v>
      </c>
      <c r="D257">
        <v>0</v>
      </c>
      <c r="E257">
        <v>4</v>
      </c>
      <c r="F257" t="s">
        <v>883</v>
      </c>
      <c r="G257" t="s">
        <v>885</v>
      </c>
    </row>
    <row r="258" spans="2:7" hidden="1" x14ac:dyDescent="0.35">
      <c r="B258" t="s">
        <v>272</v>
      </c>
      <c r="C258">
        <v>32</v>
      </c>
      <c r="D258">
        <v>7</v>
      </c>
      <c r="E258">
        <v>3</v>
      </c>
      <c r="F258" t="s">
        <v>883</v>
      </c>
      <c r="G258" t="s">
        <v>885</v>
      </c>
    </row>
    <row r="259" spans="2:7" hidden="1" x14ac:dyDescent="0.35">
      <c r="B259" t="s">
        <v>272</v>
      </c>
      <c r="C259">
        <v>65</v>
      </c>
      <c r="D259">
        <v>-4</v>
      </c>
      <c r="E259">
        <v>6</v>
      </c>
      <c r="F259" t="s">
        <v>883</v>
      </c>
      <c r="G259" t="s">
        <v>885</v>
      </c>
    </row>
    <row r="260" spans="2:7" hidden="1" x14ac:dyDescent="0.35">
      <c r="B260" t="s">
        <v>53</v>
      </c>
      <c r="C260">
        <v>8</v>
      </c>
      <c r="D260">
        <v>-2</v>
      </c>
      <c r="E260">
        <v>2</v>
      </c>
      <c r="F260" t="s">
        <v>883</v>
      </c>
      <c r="G260" t="s">
        <v>885</v>
      </c>
    </row>
    <row r="261" spans="2:7" hidden="1" x14ac:dyDescent="0.35">
      <c r="B261" t="s">
        <v>542</v>
      </c>
      <c r="C261">
        <v>27</v>
      </c>
      <c r="D261">
        <v>-20</v>
      </c>
      <c r="E261">
        <v>2</v>
      </c>
      <c r="F261" t="s">
        <v>883</v>
      </c>
      <c r="G261" t="s">
        <v>885</v>
      </c>
    </row>
    <row r="262" spans="2:7" hidden="1" x14ac:dyDescent="0.35">
      <c r="B262" t="s">
        <v>55</v>
      </c>
      <c r="C262">
        <v>106</v>
      </c>
      <c r="D262">
        <v>15</v>
      </c>
      <c r="E262">
        <v>7</v>
      </c>
      <c r="F262" t="s">
        <v>883</v>
      </c>
      <c r="G262" t="s">
        <v>885</v>
      </c>
    </row>
    <row r="263" spans="2:7" hidden="1" x14ac:dyDescent="0.35">
      <c r="B263" t="s">
        <v>55</v>
      </c>
      <c r="C263">
        <v>14</v>
      </c>
      <c r="D263">
        <v>5</v>
      </c>
      <c r="E263">
        <v>1</v>
      </c>
      <c r="F263" t="s">
        <v>883</v>
      </c>
      <c r="G263" t="s">
        <v>885</v>
      </c>
    </row>
    <row r="264" spans="2:7" hidden="1" x14ac:dyDescent="0.35">
      <c r="B264" t="s">
        <v>55</v>
      </c>
      <c r="C264">
        <v>17</v>
      </c>
      <c r="D264">
        <v>7</v>
      </c>
      <c r="E264">
        <v>3</v>
      </c>
      <c r="F264" t="s">
        <v>883</v>
      </c>
      <c r="G264" t="s">
        <v>885</v>
      </c>
    </row>
    <row r="265" spans="2:7" hidden="1" x14ac:dyDescent="0.35">
      <c r="B265" t="s">
        <v>548</v>
      </c>
      <c r="C265">
        <v>20</v>
      </c>
      <c r="D265">
        <v>-9</v>
      </c>
      <c r="E265">
        <v>6</v>
      </c>
      <c r="F265" t="s">
        <v>883</v>
      </c>
      <c r="G265" t="s">
        <v>885</v>
      </c>
    </row>
    <row r="266" spans="2:7" hidden="1" x14ac:dyDescent="0.35">
      <c r="B266" t="s">
        <v>557</v>
      </c>
      <c r="C266">
        <v>148</v>
      </c>
      <c r="D266">
        <v>59</v>
      </c>
      <c r="E266">
        <v>3</v>
      </c>
      <c r="F266" t="s">
        <v>883</v>
      </c>
      <c r="G266" t="s">
        <v>885</v>
      </c>
    </row>
    <row r="267" spans="2:7" hidden="1" x14ac:dyDescent="0.35">
      <c r="B267" t="s">
        <v>567</v>
      </c>
      <c r="C267">
        <v>60</v>
      </c>
      <c r="D267">
        <v>-49</v>
      </c>
      <c r="E267">
        <v>8</v>
      </c>
      <c r="F267" t="s">
        <v>883</v>
      </c>
      <c r="G267" t="s">
        <v>885</v>
      </c>
    </row>
    <row r="268" spans="2:7" hidden="1" x14ac:dyDescent="0.35">
      <c r="B268" t="s">
        <v>65</v>
      </c>
      <c r="C268">
        <v>30</v>
      </c>
      <c r="D268">
        <v>-6</v>
      </c>
      <c r="E268">
        <v>2</v>
      </c>
      <c r="F268" t="s">
        <v>883</v>
      </c>
      <c r="G268" t="s">
        <v>885</v>
      </c>
    </row>
    <row r="269" spans="2:7" hidden="1" x14ac:dyDescent="0.35">
      <c r="B269" t="s">
        <v>65</v>
      </c>
      <c r="C269">
        <v>26</v>
      </c>
      <c r="D269">
        <v>2</v>
      </c>
      <c r="E269">
        <v>2</v>
      </c>
      <c r="F269" t="s">
        <v>883</v>
      </c>
      <c r="G269" t="s">
        <v>885</v>
      </c>
    </row>
    <row r="270" spans="2:7" hidden="1" x14ac:dyDescent="0.35">
      <c r="B270" t="s">
        <v>569</v>
      </c>
      <c r="C270">
        <v>15</v>
      </c>
      <c r="D270">
        <v>4</v>
      </c>
      <c r="E270">
        <v>1</v>
      </c>
      <c r="F270" t="s">
        <v>883</v>
      </c>
      <c r="G270" t="s">
        <v>885</v>
      </c>
    </row>
    <row r="271" spans="2:7" hidden="1" x14ac:dyDescent="0.35">
      <c r="B271" t="s">
        <v>67</v>
      </c>
      <c r="C271">
        <v>40</v>
      </c>
      <c r="D271">
        <v>-33</v>
      </c>
      <c r="E271">
        <v>5</v>
      </c>
      <c r="F271" t="s">
        <v>883</v>
      </c>
      <c r="G271" t="s">
        <v>885</v>
      </c>
    </row>
    <row r="272" spans="2:7" hidden="1" x14ac:dyDescent="0.35">
      <c r="B272" t="s">
        <v>67</v>
      </c>
      <c r="C272">
        <v>60</v>
      </c>
      <c r="D272">
        <v>-12</v>
      </c>
      <c r="E272">
        <v>4</v>
      </c>
      <c r="F272" t="s">
        <v>883</v>
      </c>
      <c r="G272" t="s">
        <v>885</v>
      </c>
    </row>
    <row r="273" spans="2:7" hidden="1" x14ac:dyDescent="0.35">
      <c r="B273" t="s">
        <v>67</v>
      </c>
      <c r="C273">
        <v>18</v>
      </c>
      <c r="D273">
        <v>1</v>
      </c>
      <c r="E273">
        <v>3</v>
      </c>
      <c r="F273" t="s">
        <v>883</v>
      </c>
      <c r="G273" t="s">
        <v>885</v>
      </c>
    </row>
    <row r="274" spans="2:7" hidden="1" x14ac:dyDescent="0.35">
      <c r="B274" t="s">
        <v>69</v>
      </c>
      <c r="C274">
        <v>31</v>
      </c>
      <c r="D274">
        <v>1</v>
      </c>
      <c r="E274">
        <v>2</v>
      </c>
      <c r="F274" t="s">
        <v>883</v>
      </c>
      <c r="G274" t="s">
        <v>885</v>
      </c>
    </row>
    <row r="275" spans="2:7" hidden="1" x14ac:dyDescent="0.35">
      <c r="B275" t="s">
        <v>585</v>
      </c>
      <c r="C275">
        <v>61</v>
      </c>
      <c r="D275">
        <v>-50</v>
      </c>
      <c r="E275">
        <v>4</v>
      </c>
      <c r="F275" t="s">
        <v>883</v>
      </c>
      <c r="G275" t="s">
        <v>885</v>
      </c>
    </row>
    <row r="276" spans="2:7" hidden="1" x14ac:dyDescent="0.35">
      <c r="B276" t="s">
        <v>209</v>
      </c>
      <c r="C276">
        <v>45</v>
      </c>
      <c r="D276">
        <v>12</v>
      </c>
      <c r="E276">
        <v>7</v>
      </c>
      <c r="F276" t="s">
        <v>883</v>
      </c>
      <c r="G276" t="s">
        <v>885</v>
      </c>
    </row>
    <row r="277" spans="2:7" hidden="1" x14ac:dyDescent="0.35">
      <c r="B277" t="s">
        <v>593</v>
      </c>
      <c r="C277">
        <v>210</v>
      </c>
      <c r="D277">
        <v>50</v>
      </c>
      <c r="E277">
        <v>4</v>
      </c>
      <c r="F277" t="s">
        <v>883</v>
      </c>
      <c r="G277" t="s">
        <v>885</v>
      </c>
    </row>
    <row r="278" spans="2:7" hidden="1" x14ac:dyDescent="0.35">
      <c r="B278" t="s">
        <v>595</v>
      </c>
      <c r="C278">
        <v>154</v>
      </c>
      <c r="D278">
        <v>54</v>
      </c>
      <c r="E278">
        <v>3</v>
      </c>
      <c r="F278" t="s">
        <v>883</v>
      </c>
      <c r="G278" t="s">
        <v>885</v>
      </c>
    </row>
    <row r="279" spans="2:7" hidden="1" x14ac:dyDescent="0.35">
      <c r="B279" t="s">
        <v>595</v>
      </c>
      <c r="C279">
        <v>53</v>
      </c>
      <c r="D279">
        <v>24</v>
      </c>
      <c r="E279">
        <v>1</v>
      </c>
      <c r="F279" t="s">
        <v>883</v>
      </c>
      <c r="G279" t="s">
        <v>885</v>
      </c>
    </row>
    <row r="280" spans="2:7" hidden="1" x14ac:dyDescent="0.35">
      <c r="B280" t="s">
        <v>597</v>
      </c>
      <c r="C280">
        <v>26</v>
      </c>
      <c r="D280">
        <v>10</v>
      </c>
      <c r="E280">
        <v>4</v>
      </c>
      <c r="F280" t="s">
        <v>883</v>
      </c>
      <c r="G280" t="s">
        <v>885</v>
      </c>
    </row>
    <row r="281" spans="2:7" hidden="1" x14ac:dyDescent="0.35">
      <c r="B281" t="s">
        <v>597</v>
      </c>
      <c r="C281">
        <v>29</v>
      </c>
      <c r="D281">
        <v>8</v>
      </c>
      <c r="E281">
        <v>5</v>
      </c>
      <c r="F281" t="s">
        <v>883</v>
      </c>
      <c r="G281" t="s">
        <v>885</v>
      </c>
    </row>
    <row r="282" spans="2:7" hidden="1" x14ac:dyDescent="0.35">
      <c r="B282" t="s">
        <v>292</v>
      </c>
      <c r="C282">
        <v>126</v>
      </c>
      <c r="D282">
        <v>52</v>
      </c>
      <c r="E282">
        <v>4</v>
      </c>
      <c r="F282" t="s">
        <v>883</v>
      </c>
      <c r="G282" t="s">
        <v>885</v>
      </c>
    </row>
    <row r="283" spans="2:7" hidden="1" x14ac:dyDescent="0.35">
      <c r="B283" t="s">
        <v>75</v>
      </c>
      <c r="C283">
        <v>259</v>
      </c>
      <c r="D283">
        <v>47</v>
      </c>
      <c r="E283">
        <v>5</v>
      </c>
      <c r="F283" t="s">
        <v>883</v>
      </c>
      <c r="G283" t="s">
        <v>885</v>
      </c>
    </row>
    <row r="284" spans="2:7" hidden="1" x14ac:dyDescent="0.35">
      <c r="B284" t="s">
        <v>79</v>
      </c>
      <c r="C284">
        <v>75</v>
      </c>
      <c r="D284">
        <v>28</v>
      </c>
      <c r="E284">
        <v>9</v>
      </c>
      <c r="F284" t="s">
        <v>883</v>
      </c>
      <c r="G284" t="s">
        <v>885</v>
      </c>
    </row>
    <row r="285" spans="2:7" hidden="1" x14ac:dyDescent="0.35">
      <c r="B285" t="s">
        <v>79</v>
      </c>
      <c r="C285">
        <v>28</v>
      </c>
      <c r="D285">
        <v>14</v>
      </c>
      <c r="E285">
        <v>4</v>
      </c>
      <c r="F285" t="s">
        <v>883</v>
      </c>
      <c r="G285" t="s">
        <v>885</v>
      </c>
    </row>
    <row r="286" spans="2:7" hidden="1" x14ac:dyDescent="0.35">
      <c r="B286" t="s">
        <v>604</v>
      </c>
      <c r="C286">
        <v>17</v>
      </c>
      <c r="D286">
        <v>0</v>
      </c>
      <c r="E286">
        <v>1</v>
      </c>
      <c r="F286" t="s">
        <v>883</v>
      </c>
      <c r="G286" t="s">
        <v>885</v>
      </c>
    </row>
    <row r="287" spans="2:7" hidden="1" x14ac:dyDescent="0.35">
      <c r="B287" t="s">
        <v>609</v>
      </c>
      <c r="C287">
        <v>345</v>
      </c>
      <c r="D287">
        <v>38</v>
      </c>
      <c r="E287">
        <v>7</v>
      </c>
      <c r="F287" t="s">
        <v>883</v>
      </c>
      <c r="G287" t="s">
        <v>885</v>
      </c>
    </row>
    <row r="288" spans="2:7" hidden="1" x14ac:dyDescent="0.35">
      <c r="B288" t="s">
        <v>611</v>
      </c>
      <c r="C288">
        <v>41</v>
      </c>
      <c r="D288">
        <v>11</v>
      </c>
      <c r="E288">
        <v>6</v>
      </c>
      <c r="F288" t="s">
        <v>883</v>
      </c>
      <c r="G288" t="s">
        <v>885</v>
      </c>
    </row>
    <row r="289" spans="2:7" hidden="1" x14ac:dyDescent="0.35">
      <c r="B289" t="s">
        <v>86</v>
      </c>
      <c r="C289">
        <v>64</v>
      </c>
      <c r="D289">
        <v>27</v>
      </c>
      <c r="E289">
        <v>5</v>
      </c>
      <c r="F289" t="s">
        <v>883</v>
      </c>
      <c r="G289" t="s">
        <v>885</v>
      </c>
    </row>
    <row r="290" spans="2:7" hidden="1" x14ac:dyDescent="0.35">
      <c r="B290" t="s">
        <v>86</v>
      </c>
      <c r="C290">
        <v>36</v>
      </c>
      <c r="D290">
        <v>4</v>
      </c>
      <c r="E290">
        <v>9</v>
      </c>
      <c r="F290" t="s">
        <v>883</v>
      </c>
      <c r="G290" t="s">
        <v>885</v>
      </c>
    </row>
    <row r="291" spans="2:7" hidden="1" x14ac:dyDescent="0.35">
      <c r="B291" t="s">
        <v>88</v>
      </c>
      <c r="C291">
        <v>70</v>
      </c>
      <c r="D291">
        <v>26</v>
      </c>
      <c r="E291">
        <v>5</v>
      </c>
      <c r="F291" t="s">
        <v>883</v>
      </c>
      <c r="G291" t="s">
        <v>885</v>
      </c>
    </row>
    <row r="292" spans="2:7" hidden="1" x14ac:dyDescent="0.35">
      <c r="B292" t="s">
        <v>88</v>
      </c>
      <c r="C292">
        <v>81</v>
      </c>
      <c r="D292">
        <v>19</v>
      </c>
      <c r="E292">
        <v>7</v>
      </c>
      <c r="F292" t="s">
        <v>883</v>
      </c>
      <c r="G292" t="s">
        <v>885</v>
      </c>
    </row>
    <row r="293" spans="2:7" hidden="1" x14ac:dyDescent="0.35">
      <c r="B293" t="s">
        <v>307</v>
      </c>
      <c r="C293">
        <v>255</v>
      </c>
      <c r="D293">
        <v>74</v>
      </c>
      <c r="E293">
        <v>5</v>
      </c>
      <c r="F293" t="s">
        <v>883</v>
      </c>
      <c r="G293" t="s">
        <v>885</v>
      </c>
    </row>
    <row r="294" spans="2:7" hidden="1" x14ac:dyDescent="0.35">
      <c r="B294" t="s">
        <v>307</v>
      </c>
      <c r="C294">
        <v>18</v>
      </c>
      <c r="D294">
        <v>6</v>
      </c>
      <c r="E294">
        <v>3</v>
      </c>
      <c r="F294" t="s">
        <v>883</v>
      </c>
      <c r="G294" t="s">
        <v>885</v>
      </c>
    </row>
    <row r="295" spans="2:7" hidden="1" x14ac:dyDescent="0.35">
      <c r="B295" t="s">
        <v>628</v>
      </c>
      <c r="C295">
        <v>16</v>
      </c>
      <c r="D295">
        <v>8</v>
      </c>
      <c r="E295">
        <v>2</v>
      </c>
      <c r="F295" t="s">
        <v>883</v>
      </c>
      <c r="G295" t="s">
        <v>885</v>
      </c>
    </row>
    <row r="296" spans="2:7" hidden="1" x14ac:dyDescent="0.35">
      <c r="B296" t="s">
        <v>631</v>
      </c>
      <c r="C296">
        <v>93</v>
      </c>
      <c r="D296">
        <v>-1</v>
      </c>
      <c r="E296">
        <v>2</v>
      </c>
      <c r="F296" t="s">
        <v>883</v>
      </c>
      <c r="G296" t="s">
        <v>885</v>
      </c>
    </row>
    <row r="297" spans="2:7" hidden="1" x14ac:dyDescent="0.35">
      <c r="B297" t="s">
        <v>631</v>
      </c>
      <c r="C297">
        <v>24</v>
      </c>
      <c r="D297">
        <v>1</v>
      </c>
      <c r="E297">
        <v>4</v>
      </c>
      <c r="F297" t="s">
        <v>883</v>
      </c>
      <c r="G297" t="s">
        <v>885</v>
      </c>
    </row>
    <row r="298" spans="2:7" hidden="1" x14ac:dyDescent="0.35">
      <c r="B298" t="s">
        <v>632</v>
      </c>
      <c r="C298">
        <v>10</v>
      </c>
      <c r="D298">
        <v>2</v>
      </c>
      <c r="E298">
        <v>2</v>
      </c>
      <c r="F298" t="s">
        <v>883</v>
      </c>
      <c r="G298" t="s">
        <v>885</v>
      </c>
    </row>
    <row r="299" spans="2:7" hidden="1" x14ac:dyDescent="0.35">
      <c r="B299" t="s">
        <v>632</v>
      </c>
      <c r="C299">
        <v>53</v>
      </c>
      <c r="D299">
        <v>24</v>
      </c>
      <c r="E299">
        <v>6</v>
      </c>
      <c r="F299" t="s">
        <v>883</v>
      </c>
      <c r="G299" t="s">
        <v>885</v>
      </c>
    </row>
    <row r="300" spans="2:7" hidden="1" x14ac:dyDescent="0.35">
      <c r="B300" t="s">
        <v>634</v>
      </c>
      <c r="C300">
        <v>24</v>
      </c>
      <c r="D300">
        <v>1</v>
      </c>
      <c r="E300">
        <v>2</v>
      </c>
      <c r="F300" t="s">
        <v>883</v>
      </c>
      <c r="G300" t="s">
        <v>885</v>
      </c>
    </row>
    <row r="301" spans="2:7" hidden="1" x14ac:dyDescent="0.35">
      <c r="B301" t="s">
        <v>634</v>
      </c>
      <c r="C301">
        <v>45</v>
      </c>
      <c r="D301">
        <v>12</v>
      </c>
      <c r="E301">
        <v>4</v>
      </c>
      <c r="F301" t="s">
        <v>883</v>
      </c>
      <c r="G301" t="s">
        <v>885</v>
      </c>
    </row>
    <row r="302" spans="2:7" hidden="1" x14ac:dyDescent="0.35">
      <c r="B302" t="s">
        <v>636</v>
      </c>
      <c r="C302">
        <v>30</v>
      </c>
      <c r="D302">
        <v>14</v>
      </c>
      <c r="E302">
        <v>3</v>
      </c>
      <c r="F302" t="s">
        <v>883</v>
      </c>
      <c r="G302" t="s">
        <v>885</v>
      </c>
    </row>
    <row r="303" spans="2:7" hidden="1" x14ac:dyDescent="0.35">
      <c r="B303" t="s">
        <v>636</v>
      </c>
      <c r="C303">
        <v>26</v>
      </c>
      <c r="D303">
        <v>11</v>
      </c>
      <c r="E303">
        <v>2</v>
      </c>
      <c r="F303" t="s">
        <v>883</v>
      </c>
      <c r="G303" t="s">
        <v>885</v>
      </c>
    </row>
    <row r="304" spans="2:7" hidden="1" x14ac:dyDescent="0.35">
      <c r="B304" t="s">
        <v>213</v>
      </c>
      <c r="C304">
        <v>436</v>
      </c>
      <c r="D304">
        <v>131</v>
      </c>
      <c r="E304">
        <v>9</v>
      </c>
      <c r="F304" t="s">
        <v>883</v>
      </c>
      <c r="G304" t="s">
        <v>885</v>
      </c>
    </row>
    <row r="305" spans="2:7" hidden="1" x14ac:dyDescent="0.35">
      <c r="B305" t="s">
        <v>213</v>
      </c>
      <c r="C305">
        <v>76</v>
      </c>
      <c r="D305">
        <v>19</v>
      </c>
      <c r="E305">
        <v>3</v>
      </c>
      <c r="F305" t="s">
        <v>883</v>
      </c>
      <c r="G305" t="s">
        <v>885</v>
      </c>
    </row>
    <row r="306" spans="2:7" hidden="1" x14ac:dyDescent="0.35">
      <c r="B306" t="s">
        <v>213</v>
      </c>
      <c r="C306">
        <v>40</v>
      </c>
      <c r="D306">
        <v>16</v>
      </c>
      <c r="E306">
        <v>3</v>
      </c>
      <c r="F306" t="s">
        <v>883</v>
      </c>
      <c r="G306" t="s">
        <v>885</v>
      </c>
    </row>
    <row r="307" spans="2:7" hidden="1" x14ac:dyDescent="0.35">
      <c r="B307" t="s">
        <v>170</v>
      </c>
      <c r="C307">
        <v>90</v>
      </c>
      <c r="D307">
        <v>17</v>
      </c>
      <c r="E307">
        <v>3</v>
      </c>
      <c r="F307" t="s">
        <v>883</v>
      </c>
      <c r="G307" t="s">
        <v>885</v>
      </c>
    </row>
    <row r="308" spans="2:7" hidden="1" x14ac:dyDescent="0.35">
      <c r="B308" t="s">
        <v>170</v>
      </c>
      <c r="C308">
        <v>98</v>
      </c>
      <c r="D308">
        <v>12</v>
      </c>
      <c r="E308">
        <v>2</v>
      </c>
      <c r="F308" t="s">
        <v>883</v>
      </c>
      <c r="G308" t="s">
        <v>885</v>
      </c>
    </row>
    <row r="309" spans="2:7" hidden="1" x14ac:dyDescent="0.35">
      <c r="B309" t="s">
        <v>170</v>
      </c>
      <c r="C309">
        <v>61</v>
      </c>
      <c r="D309">
        <v>30</v>
      </c>
      <c r="E309">
        <v>2</v>
      </c>
      <c r="F309" t="s">
        <v>883</v>
      </c>
      <c r="G309" t="s">
        <v>885</v>
      </c>
    </row>
    <row r="310" spans="2:7" hidden="1" x14ac:dyDescent="0.35">
      <c r="B310" t="s">
        <v>310</v>
      </c>
      <c r="C310">
        <v>22</v>
      </c>
      <c r="D310">
        <v>8</v>
      </c>
      <c r="E310">
        <v>3</v>
      </c>
      <c r="F310" t="s">
        <v>883</v>
      </c>
      <c r="G310" t="s">
        <v>885</v>
      </c>
    </row>
    <row r="311" spans="2:7" hidden="1" x14ac:dyDescent="0.35">
      <c r="B311" t="s">
        <v>639</v>
      </c>
      <c r="C311">
        <v>62</v>
      </c>
      <c r="D311">
        <v>6</v>
      </c>
      <c r="E311">
        <v>5</v>
      </c>
      <c r="F311" t="s">
        <v>883</v>
      </c>
      <c r="G311" t="s">
        <v>885</v>
      </c>
    </row>
    <row r="312" spans="2:7" hidden="1" x14ac:dyDescent="0.35">
      <c r="B312" t="s">
        <v>639</v>
      </c>
      <c r="C312">
        <v>44</v>
      </c>
      <c r="D312">
        <v>14</v>
      </c>
      <c r="E312">
        <v>3</v>
      </c>
      <c r="F312" t="s">
        <v>883</v>
      </c>
      <c r="G312" t="s">
        <v>885</v>
      </c>
    </row>
    <row r="313" spans="2:7" hidden="1" x14ac:dyDescent="0.35">
      <c r="B313" t="s">
        <v>639</v>
      </c>
      <c r="C313">
        <v>56</v>
      </c>
      <c r="D313">
        <v>18</v>
      </c>
      <c r="E313">
        <v>2</v>
      </c>
      <c r="F313" t="s">
        <v>883</v>
      </c>
      <c r="G313" t="s">
        <v>885</v>
      </c>
    </row>
    <row r="314" spans="2:7" hidden="1" x14ac:dyDescent="0.35">
      <c r="B314" t="s">
        <v>311</v>
      </c>
      <c r="C314">
        <v>17</v>
      </c>
      <c r="D314">
        <v>5</v>
      </c>
      <c r="E314">
        <v>1</v>
      </c>
      <c r="F314" t="s">
        <v>883</v>
      </c>
      <c r="G314" t="s">
        <v>885</v>
      </c>
    </row>
    <row r="315" spans="2:7" hidden="1" x14ac:dyDescent="0.35">
      <c r="B315" t="s">
        <v>311</v>
      </c>
      <c r="C315">
        <v>27</v>
      </c>
      <c r="D315">
        <v>9</v>
      </c>
      <c r="E315">
        <v>2</v>
      </c>
      <c r="F315" t="s">
        <v>883</v>
      </c>
      <c r="G315" t="s">
        <v>885</v>
      </c>
    </row>
    <row r="316" spans="2:7" hidden="1" x14ac:dyDescent="0.35">
      <c r="B316" t="s">
        <v>652</v>
      </c>
      <c r="C316">
        <v>473</v>
      </c>
      <c r="D316">
        <v>113</v>
      </c>
      <c r="E316">
        <v>9</v>
      </c>
      <c r="F316" t="s">
        <v>883</v>
      </c>
      <c r="G316" t="s">
        <v>885</v>
      </c>
    </row>
    <row r="317" spans="2:7" hidden="1" x14ac:dyDescent="0.35">
      <c r="B317" t="s">
        <v>653</v>
      </c>
      <c r="C317">
        <v>118</v>
      </c>
      <c r="D317">
        <v>25</v>
      </c>
      <c r="E317">
        <v>4</v>
      </c>
      <c r="F317" t="s">
        <v>883</v>
      </c>
      <c r="G317" t="s">
        <v>885</v>
      </c>
    </row>
    <row r="318" spans="2:7" hidden="1" x14ac:dyDescent="0.35">
      <c r="B318" t="s">
        <v>99</v>
      </c>
      <c r="C318">
        <v>7</v>
      </c>
      <c r="D318">
        <v>1</v>
      </c>
      <c r="E318">
        <v>1</v>
      </c>
      <c r="F318" t="s">
        <v>883</v>
      </c>
      <c r="G318" t="s">
        <v>885</v>
      </c>
    </row>
    <row r="319" spans="2:7" hidden="1" x14ac:dyDescent="0.35">
      <c r="B319" t="s">
        <v>668</v>
      </c>
      <c r="C319">
        <v>37</v>
      </c>
      <c r="D319">
        <v>3</v>
      </c>
      <c r="E319">
        <v>3</v>
      </c>
      <c r="F319" t="s">
        <v>883</v>
      </c>
      <c r="G319" t="s">
        <v>885</v>
      </c>
    </row>
    <row r="320" spans="2:7" hidden="1" x14ac:dyDescent="0.35">
      <c r="B320" t="s">
        <v>671</v>
      </c>
      <c r="C320">
        <v>146</v>
      </c>
      <c r="D320">
        <v>42</v>
      </c>
      <c r="E320">
        <v>5</v>
      </c>
      <c r="F320" t="s">
        <v>883</v>
      </c>
      <c r="G320" t="s">
        <v>885</v>
      </c>
    </row>
    <row r="321" spans="2:7" hidden="1" x14ac:dyDescent="0.35">
      <c r="B321" t="s">
        <v>671</v>
      </c>
      <c r="C321">
        <v>16</v>
      </c>
      <c r="D321">
        <v>-15</v>
      </c>
      <c r="E321">
        <v>4</v>
      </c>
      <c r="F321" t="s">
        <v>883</v>
      </c>
      <c r="G321" t="s">
        <v>885</v>
      </c>
    </row>
    <row r="322" spans="2:7" hidden="1" x14ac:dyDescent="0.35">
      <c r="B322" t="s">
        <v>317</v>
      </c>
      <c r="C322">
        <v>24</v>
      </c>
      <c r="D322">
        <v>2</v>
      </c>
      <c r="E322">
        <v>4</v>
      </c>
      <c r="F322" t="s">
        <v>883</v>
      </c>
      <c r="G322" t="s">
        <v>885</v>
      </c>
    </row>
    <row r="323" spans="2:7" hidden="1" x14ac:dyDescent="0.35">
      <c r="B323" t="s">
        <v>677</v>
      </c>
      <c r="C323">
        <v>18</v>
      </c>
      <c r="D323">
        <v>2</v>
      </c>
      <c r="E323">
        <v>3</v>
      </c>
      <c r="F323" t="s">
        <v>883</v>
      </c>
      <c r="G323" t="s">
        <v>885</v>
      </c>
    </row>
    <row r="324" spans="2:7" hidden="1" x14ac:dyDescent="0.35">
      <c r="B324" t="s">
        <v>104</v>
      </c>
      <c r="C324">
        <v>25</v>
      </c>
      <c r="D324">
        <v>2</v>
      </c>
      <c r="E324">
        <v>2</v>
      </c>
      <c r="F324" t="s">
        <v>883</v>
      </c>
      <c r="G324" t="s">
        <v>885</v>
      </c>
    </row>
    <row r="325" spans="2:7" hidden="1" x14ac:dyDescent="0.35">
      <c r="B325" t="s">
        <v>104</v>
      </c>
      <c r="C325">
        <v>97</v>
      </c>
      <c r="D325">
        <v>36</v>
      </c>
      <c r="E325">
        <v>7</v>
      </c>
      <c r="F325" t="s">
        <v>883</v>
      </c>
      <c r="G325" t="s">
        <v>885</v>
      </c>
    </row>
    <row r="326" spans="2:7" hidden="1" x14ac:dyDescent="0.35">
      <c r="B326" t="s">
        <v>321</v>
      </c>
      <c r="C326">
        <v>103</v>
      </c>
      <c r="D326">
        <v>36</v>
      </c>
      <c r="E326">
        <v>2</v>
      </c>
      <c r="F326" t="s">
        <v>883</v>
      </c>
      <c r="G326" t="s">
        <v>885</v>
      </c>
    </row>
    <row r="327" spans="2:7" hidden="1" x14ac:dyDescent="0.35">
      <c r="B327" t="s">
        <v>106</v>
      </c>
      <c r="C327">
        <v>33</v>
      </c>
      <c r="D327">
        <v>10</v>
      </c>
      <c r="E327">
        <v>3</v>
      </c>
      <c r="F327" t="s">
        <v>883</v>
      </c>
      <c r="G327" t="s">
        <v>885</v>
      </c>
    </row>
    <row r="328" spans="2:7" hidden="1" x14ac:dyDescent="0.35">
      <c r="B328" t="s">
        <v>106</v>
      </c>
      <c r="C328">
        <v>24</v>
      </c>
      <c r="D328">
        <v>11</v>
      </c>
      <c r="E328">
        <v>5</v>
      </c>
      <c r="F328" t="s">
        <v>883</v>
      </c>
      <c r="G328" t="s">
        <v>885</v>
      </c>
    </row>
    <row r="329" spans="2:7" hidden="1" x14ac:dyDescent="0.35">
      <c r="B329" t="s">
        <v>690</v>
      </c>
      <c r="C329">
        <v>158</v>
      </c>
      <c r="D329">
        <v>38</v>
      </c>
      <c r="E329">
        <v>3</v>
      </c>
      <c r="F329" t="s">
        <v>883</v>
      </c>
      <c r="G329" t="s">
        <v>885</v>
      </c>
    </row>
    <row r="330" spans="2:7" hidden="1" x14ac:dyDescent="0.35">
      <c r="B330" t="s">
        <v>690</v>
      </c>
      <c r="C330">
        <v>61</v>
      </c>
      <c r="D330">
        <v>28</v>
      </c>
      <c r="E330">
        <v>2</v>
      </c>
      <c r="F330" t="s">
        <v>883</v>
      </c>
      <c r="G330" t="s">
        <v>885</v>
      </c>
    </row>
    <row r="331" spans="2:7" hidden="1" x14ac:dyDescent="0.35">
      <c r="B331" t="s">
        <v>108</v>
      </c>
      <c r="C331">
        <v>19</v>
      </c>
      <c r="D331">
        <v>8</v>
      </c>
      <c r="E331">
        <v>2</v>
      </c>
      <c r="F331" t="s">
        <v>883</v>
      </c>
      <c r="G331" t="s">
        <v>885</v>
      </c>
    </row>
    <row r="332" spans="2:7" hidden="1" x14ac:dyDescent="0.35">
      <c r="B332" t="s">
        <v>108</v>
      </c>
      <c r="C332">
        <v>37</v>
      </c>
      <c r="D332">
        <v>17</v>
      </c>
      <c r="E332">
        <v>3</v>
      </c>
      <c r="F332" t="s">
        <v>883</v>
      </c>
      <c r="G332" t="s">
        <v>885</v>
      </c>
    </row>
    <row r="333" spans="2:7" hidden="1" x14ac:dyDescent="0.35">
      <c r="B333" t="s">
        <v>108</v>
      </c>
      <c r="C333">
        <v>204</v>
      </c>
      <c r="D333">
        <v>94</v>
      </c>
      <c r="E333">
        <v>4</v>
      </c>
      <c r="F333" t="s">
        <v>883</v>
      </c>
      <c r="G333" t="s">
        <v>885</v>
      </c>
    </row>
    <row r="334" spans="2:7" hidden="1" x14ac:dyDescent="0.35">
      <c r="B334" t="s">
        <v>175</v>
      </c>
      <c r="C334">
        <v>30</v>
      </c>
      <c r="D334">
        <v>11</v>
      </c>
      <c r="E334">
        <v>5</v>
      </c>
      <c r="F334" t="s">
        <v>883</v>
      </c>
      <c r="G334" t="s">
        <v>885</v>
      </c>
    </row>
    <row r="335" spans="2:7" hidden="1" x14ac:dyDescent="0.35">
      <c r="B335" t="s">
        <v>697</v>
      </c>
      <c r="C335">
        <v>259</v>
      </c>
      <c r="D335">
        <v>47</v>
      </c>
      <c r="E335">
        <v>5</v>
      </c>
      <c r="F335" t="s">
        <v>883</v>
      </c>
      <c r="G335" t="s">
        <v>885</v>
      </c>
    </row>
    <row r="336" spans="2:7" hidden="1" x14ac:dyDescent="0.35">
      <c r="B336" t="s">
        <v>722</v>
      </c>
      <c r="C336">
        <v>151</v>
      </c>
      <c r="D336">
        <v>29</v>
      </c>
      <c r="E336">
        <v>5</v>
      </c>
      <c r="F336" t="s">
        <v>883</v>
      </c>
      <c r="G336" t="s">
        <v>885</v>
      </c>
    </row>
    <row r="337" spans="2:7" hidden="1" x14ac:dyDescent="0.35">
      <c r="B337" t="s">
        <v>722</v>
      </c>
      <c r="C337">
        <v>58</v>
      </c>
      <c r="D337">
        <v>17</v>
      </c>
      <c r="E337">
        <v>2</v>
      </c>
      <c r="F337" t="s">
        <v>883</v>
      </c>
      <c r="G337" t="s">
        <v>885</v>
      </c>
    </row>
    <row r="338" spans="2:7" hidden="1" x14ac:dyDescent="0.35">
      <c r="B338" t="s">
        <v>724</v>
      </c>
      <c r="C338">
        <v>150</v>
      </c>
      <c r="D338">
        <v>32</v>
      </c>
      <c r="E338">
        <v>3</v>
      </c>
      <c r="F338" t="s">
        <v>883</v>
      </c>
      <c r="G338" t="s">
        <v>885</v>
      </c>
    </row>
    <row r="339" spans="2:7" hidden="1" x14ac:dyDescent="0.35">
      <c r="B339" t="s">
        <v>732</v>
      </c>
      <c r="C339">
        <v>13</v>
      </c>
      <c r="D339">
        <v>3</v>
      </c>
      <c r="E339">
        <v>2</v>
      </c>
      <c r="F339" t="s">
        <v>883</v>
      </c>
      <c r="G339" t="s">
        <v>885</v>
      </c>
    </row>
    <row r="340" spans="2:7" hidden="1" x14ac:dyDescent="0.35">
      <c r="B340" t="s">
        <v>737</v>
      </c>
      <c r="C340">
        <v>26</v>
      </c>
      <c r="D340">
        <v>7</v>
      </c>
      <c r="E340">
        <v>4</v>
      </c>
      <c r="F340" t="s">
        <v>883</v>
      </c>
      <c r="G340" t="s">
        <v>885</v>
      </c>
    </row>
    <row r="341" spans="2:7" hidden="1" x14ac:dyDescent="0.35">
      <c r="B341" t="s">
        <v>737</v>
      </c>
      <c r="C341">
        <v>137</v>
      </c>
      <c r="D341">
        <v>38</v>
      </c>
      <c r="E341">
        <v>5</v>
      </c>
      <c r="F341" t="s">
        <v>883</v>
      </c>
      <c r="G341" t="s">
        <v>885</v>
      </c>
    </row>
    <row r="342" spans="2:7" hidden="1" x14ac:dyDescent="0.35">
      <c r="B342" t="s">
        <v>740</v>
      </c>
      <c r="C342">
        <v>290</v>
      </c>
      <c r="D342">
        <v>35</v>
      </c>
      <c r="E342">
        <v>6</v>
      </c>
      <c r="F342" t="s">
        <v>883</v>
      </c>
      <c r="G342" t="s">
        <v>885</v>
      </c>
    </row>
    <row r="343" spans="2:7" hidden="1" x14ac:dyDescent="0.35">
      <c r="B343" t="s">
        <v>334</v>
      </c>
      <c r="C343">
        <v>24</v>
      </c>
      <c r="D343">
        <v>11</v>
      </c>
      <c r="E343">
        <v>3</v>
      </c>
      <c r="F343" t="s">
        <v>883</v>
      </c>
      <c r="G343" t="s">
        <v>885</v>
      </c>
    </row>
    <row r="344" spans="2:7" hidden="1" x14ac:dyDescent="0.35">
      <c r="B344" t="s">
        <v>334</v>
      </c>
      <c r="C344">
        <v>151</v>
      </c>
      <c r="D344">
        <v>9</v>
      </c>
      <c r="E344">
        <v>3</v>
      </c>
      <c r="F344" t="s">
        <v>883</v>
      </c>
      <c r="G344" t="s">
        <v>885</v>
      </c>
    </row>
    <row r="345" spans="2:7" hidden="1" x14ac:dyDescent="0.35">
      <c r="B345" t="s">
        <v>120</v>
      </c>
      <c r="C345">
        <v>158</v>
      </c>
      <c r="D345">
        <v>-29</v>
      </c>
      <c r="E345">
        <v>10</v>
      </c>
      <c r="F345" t="s">
        <v>883</v>
      </c>
      <c r="G345" t="s">
        <v>885</v>
      </c>
    </row>
    <row r="346" spans="2:7" hidden="1" x14ac:dyDescent="0.35">
      <c r="B346" t="s">
        <v>742</v>
      </c>
      <c r="C346">
        <v>111</v>
      </c>
      <c r="D346">
        <v>11</v>
      </c>
      <c r="E346">
        <v>9</v>
      </c>
      <c r="F346" t="s">
        <v>883</v>
      </c>
      <c r="G346" t="s">
        <v>885</v>
      </c>
    </row>
    <row r="347" spans="2:7" hidden="1" x14ac:dyDescent="0.35">
      <c r="B347" t="s">
        <v>122</v>
      </c>
      <c r="C347">
        <v>14</v>
      </c>
      <c r="D347">
        <v>0</v>
      </c>
      <c r="E347">
        <v>4</v>
      </c>
      <c r="F347" t="s">
        <v>883</v>
      </c>
      <c r="G347" t="s">
        <v>885</v>
      </c>
    </row>
    <row r="348" spans="2:7" hidden="1" x14ac:dyDescent="0.35">
      <c r="B348" t="s">
        <v>122</v>
      </c>
      <c r="C348">
        <v>44</v>
      </c>
      <c r="D348">
        <v>14</v>
      </c>
      <c r="E348">
        <v>3</v>
      </c>
      <c r="F348" t="s">
        <v>883</v>
      </c>
      <c r="G348" t="s">
        <v>885</v>
      </c>
    </row>
    <row r="349" spans="2:7" hidden="1" x14ac:dyDescent="0.35">
      <c r="B349" t="s">
        <v>744</v>
      </c>
      <c r="C349">
        <v>22</v>
      </c>
      <c r="D349">
        <v>-8</v>
      </c>
      <c r="E349">
        <v>4</v>
      </c>
      <c r="F349" t="s">
        <v>883</v>
      </c>
      <c r="G349" t="s">
        <v>885</v>
      </c>
    </row>
    <row r="350" spans="2:7" hidden="1" x14ac:dyDescent="0.35">
      <c r="B350" t="s">
        <v>744</v>
      </c>
      <c r="C350">
        <v>44</v>
      </c>
      <c r="D350">
        <v>2</v>
      </c>
      <c r="E350">
        <v>3</v>
      </c>
      <c r="F350" t="s">
        <v>883</v>
      </c>
      <c r="G350" t="s">
        <v>885</v>
      </c>
    </row>
    <row r="351" spans="2:7" hidden="1" x14ac:dyDescent="0.35">
      <c r="B351" t="s">
        <v>336</v>
      </c>
      <c r="C351">
        <v>59</v>
      </c>
      <c r="D351">
        <v>10</v>
      </c>
      <c r="E351">
        <v>2</v>
      </c>
      <c r="F351" t="s">
        <v>883</v>
      </c>
      <c r="G351" t="s">
        <v>885</v>
      </c>
    </row>
    <row r="352" spans="2:7" hidden="1" x14ac:dyDescent="0.35">
      <c r="B352" t="s">
        <v>336</v>
      </c>
      <c r="C352">
        <v>33</v>
      </c>
      <c r="D352">
        <v>10</v>
      </c>
      <c r="E352">
        <v>3</v>
      </c>
      <c r="F352" t="s">
        <v>883</v>
      </c>
      <c r="G352" t="s">
        <v>885</v>
      </c>
    </row>
    <row r="353" spans="2:7" hidden="1" x14ac:dyDescent="0.35">
      <c r="B353" t="s">
        <v>747</v>
      </c>
      <c r="C353">
        <v>105</v>
      </c>
      <c r="D353">
        <v>25</v>
      </c>
      <c r="E353">
        <v>2</v>
      </c>
      <c r="F353" t="s">
        <v>883</v>
      </c>
      <c r="G353" t="s">
        <v>885</v>
      </c>
    </row>
    <row r="354" spans="2:7" hidden="1" x14ac:dyDescent="0.35">
      <c r="B354" t="s">
        <v>126</v>
      </c>
      <c r="C354">
        <v>82</v>
      </c>
      <c r="D354">
        <v>24</v>
      </c>
      <c r="E354">
        <v>6</v>
      </c>
      <c r="F354" t="s">
        <v>883</v>
      </c>
      <c r="G354" t="s">
        <v>885</v>
      </c>
    </row>
    <row r="355" spans="2:7" hidden="1" x14ac:dyDescent="0.35">
      <c r="B355" t="s">
        <v>126</v>
      </c>
      <c r="C355">
        <v>23</v>
      </c>
      <c r="D355">
        <v>8</v>
      </c>
      <c r="E355">
        <v>2</v>
      </c>
      <c r="F355" t="s">
        <v>883</v>
      </c>
      <c r="G355" t="s">
        <v>885</v>
      </c>
    </row>
    <row r="356" spans="2:7" hidden="1" x14ac:dyDescent="0.35">
      <c r="B356" t="s">
        <v>751</v>
      </c>
      <c r="C356">
        <v>17</v>
      </c>
      <c r="D356">
        <v>7</v>
      </c>
      <c r="E356">
        <v>3</v>
      </c>
      <c r="F356" t="s">
        <v>883</v>
      </c>
      <c r="G356" t="s">
        <v>885</v>
      </c>
    </row>
    <row r="357" spans="2:7" hidden="1" x14ac:dyDescent="0.35">
      <c r="B357" t="s">
        <v>761</v>
      </c>
      <c r="C357">
        <v>398</v>
      </c>
      <c r="D357">
        <v>111</v>
      </c>
      <c r="E357">
        <v>8</v>
      </c>
      <c r="F357" t="s">
        <v>883</v>
      </c>
      <c r="G357" t="s">
        <v>885</v>
      </c>
    </row>
    <row r="358" spans="2:7" hidden="1" x14ac:dyDescent="0.35">
      <c r="B358" t="s">
        <v>132</v>
      </c>
      <c r="C358">
        <v>12</v>
      </c>
      <c r="D358">
        <v>1</v>
      </c>
      <c r="E358">
        <v>2</v>
      </c>
      <c r="F358" t="s">
        <v>883</v>
      </c>
      <c r="G358" t="s">
        <v>885</v>
      </c>
    </row>
    <row r="359" spans="2:7" hidden="1" x14ac:dyDescent="0.35">
      <c r="B359" t="s">
        <v>133</v>
      </c>
      <c r="C359">
        <v>32</v>
      </c>
      <c r="D359">
        <v>8</v>
      </c>
      <c r="E359">
        <v>5</v>
      </c>
      <c r="F359" t="s">
        <v>883</v>
      </c>
      <c r="G359" t="s">
        <v>885</v>
      </c>
    </row>
    <row r="360" spans="2:7" hidden="1" x14ac:dyDescent="0.35">
      <c r="B360" t="s">
        <v>778</v>
      </c>
      <c r="C360">
        <v>88</v>
      </c>
      <c r="D360">
        <v>11</v>
      </c>
      <c r="E360">
        <v>7</v>
      </c>
      <c r="F360" t="s">
        <v>883</v>
      </c>
      <c r="G360" t="s">
        <v>885</v>
      </c>
    </row>
    <row r="361" spans="2:7" hidden="1" x14ac:dyDescent="0.35">
      <c r="B361" t="s">
        <v>782</v>
      </c>
      <c r="C361">
        <v>44</v>
      </c>
      <c r="D361">
        <v>14</v>
      </c>
      <c r="E361">
        <v>3</v>
      </c>
      <c r="F361" t="s">
        <v>883</v>
      </c>
      <c r="G361" t="s">
        <v>885</v>
      </c>
    </row>
    <row r="362" spans="2:7" hidden="1" x14ac:dyDescent="0.35">
      <c r="B362" t="s">
        <v>782</v>
      </c>
      <c r="C362">
        <v>338</v>
      </c>
      <c r="D362">
        <v>41</v>
      </c>
      <c r="E362">
        <v>7</v>
      </c>
      <c r="F362" t="s">
        <v>883</v>
      </c>
      <c r="G362" t="s">
        <v>885</v>
      </c>
    </row>
    <row r="363" spans="2:7" hidden="1" x14ac:dyDescent="0.35">
      <c r="B363" t="s">
        <v>135</v>
      </c>
      <c r="C363">
        <v>13</v>
      </c>
      <c r="D363">
        <v>5</v>
      </c>
      <c r="E363">
        <v>2</v>
      </c>
      <c r="F363" t="s">
        <v>883</v>
      </c>
      <c r="G363" t="s">
        <v>885</v>
      </c>
    </row>
    <row r="364" spans="2:7" hidden="1" x14ac:dyDescent="0.35">
      <c r="B364" t="s">
        <v>792</v>
      </c>
      <c r="C364">
        <v>31</v>
      </c>
      <c r="D364">
        <v>2</v>
      </c>
      <c r="E364">
        <v>2</v>
      </c>
      <c r="F364" t="s">
        <v>883</v>
      </c>
      <c r="G364" t="s">
        <v>885</v>
      </c>
    </row>
    <row r="365" spans="2:7" hidden="1" x14ac:dyDescent="0.35">
      <c r="B365" t="s">
        <v>137</v>
      </c>
      <c r="C365">
        <v>16</v>
      </c>
      <c r="D365">
        <v>6</v>
      </c>
      <c r="E365">
        <v>3</v>
      </c>
      <c r="F365" t="s">
        <v>883</v>
      </c>
      <c r="G365" t="s">
        <v>885</v>
      </c>
    </row>
    <row r="366" spans="2:7" hidden="1" x14ac:dyDescent="0.35">
      <c r="B366" t="s">
        <v>137</v>
      </c>
      <c r="C366">
        <v>48</v>
      </c>
      <c r="D366">
        <v>15</v>
      </c>
      <c r="E366">
        <v>1</v>
      </c>
      <c r="F366" t="s">
        <v>883</v>
      </c>
      <c r="G366" t="s">
        <v>885</v>
      </c>
    </row>
    <row r="367" spans="2:7" hidden="1" x14ac:dyDescent="0.35">
      <c r="B367" t="s">
        <v>796</v>
      </c>
      <c r="C367">
        <v>222</v>
      </c>
      <c r="D367">
        <v>74</v>
      </c>
      <c r="E367">
        <v>5</v>
      </c>
      <c r="F367" t="s">
        <v>883</v>
      </c>
      <c r="G367" t="s">
        <v>885</v>
      </c>
    </row>
    <row r="368" spans="2:7" hidden="1" x14ac:dyDescent="0.35">
      <c r="B368" t="s">
        <v>799</v>
      </c>
      <c r="C368">
        <v>13</v>
      </c>
      <c r="D368">
        <v>0</v>
      </c>
      <c r="E368">
        <v>2</v>
      </c>
      <c r="F368" t="s">
        <v>883</v>
      </c>
      <c r="G368" t="s">
        <v>885</v>
      </c>
    </row>
    <row r="369" spans="2:7" hidden="1" x14ac:dyDescent="0.35">
      <c r="B369" t="s">
        <v>183</v>
      </c>
      <c r="C369">
        <v>128</v>
      </c>
      <c r="D369">
        <v>47</v>
      </c>
      <c r="E369">
        <v>4</v>
      </c>
      <c r="F369" t="s">
        <v>883</v>
      </c>
      <c r="G369" t="s">
        <v>885</v>
      </c>
    </row>
    <row r="370" spans="2:7" hidden="1" x14ac:dyDescent="0.35">
      <c r="B370" t="s">
        <v>809</v>
      </c>
      <c r="C370">
        <v>206</v>
      </c>
      <c r="D370">
        <v>51</v>
      </c>
      <c r="E370">
        <v>4</v>
      </c>
      <c r="F370" t="s">
        <v>883</v>
      </c>
      <c r="G370" t="s">
        <v>885</v>
      </c>
    </row>
    <row r="371" spans="2:7" hidden="1" x14ac:dyDescent="0.35">
      <c r="B371" t="s">
        <v>812</v>
      </c>
      <c r="C371">
        <v>18</v>
      </c>
      <c r="D371">
        <v>2</v>
      </c>
      <c r="E371">
        <v>3</v>
      </c>
      <c r="F371" t="s">
        <v>883</v>
      </c>
      <c r="G371" t="s">
        <v>885</v>
      </c>
    </row>
    <row r="372" spans="2:7" hidden="1" x14ac:dyDescent="0.35">
      <c r="B372" t="s">
        <v>817</v>
      </c>
      <c r="C372">
        <v>202</v>
      </c>
      <c r="D372">
        <v>4</v>
      </c>
      <c r="E372">
        <v>4</v>
      </c>
      <c r="F372" t="s">
        <v>883</v>
      </c>
      <c r="G372" t="s">
        <v>885</v>
      </c>
    </row>
    <row r="373" spans="2:7" hidden="1" x14ac:dyDescent="0.35">
      <c r="B373" t="s">
        <v>819</v>
      </c>
      <c r="C373">
        <v>61</v>
      </c>
      <c r="D373">
        <v>8</v>
      </c>
      <c r="E373">
        <v>4</v>
      </c>
      <c r="F373" t="s">
        <v>883</v>
      </c>
      <c r="G373" t="s">
        <v>885</v>
      </c>
    </row>
    <row r="374" spans="2:7" hidden="1" x14ac:dyDescent="0.35">
      <c r="B374" t="s">
        <v>822</v>
      </c>
      <c r="C374">
        <v>21</v>
      </c>
      <c r="D374">
        <v>-12</v>
      </c>
      <c r="E374">
        <v>3</v>
      </c>
      <c r="F374" t="s">
        <v>883</v>
      </c>
      <c r="G374" t="s">
        <v>885</v>
      </c>
    </row>
    <row r="375" spans="2:7" hidden="1" x14ac:dyDescent="0.35">
      <c r="B375" t="s">
        <v>826</v>
      </c>
      <c r="C375">
        <v>41</v>
      </c>
      <c r="D375">
        <v>19</v>
      </c>
      <c r="E375">
        <v>5</v>
      </c>
      <c r="F375" t="s">
        <v>883</v>
      </c>
      <c r="G375" t="s">
        <v>885</v>
      </c>
    </row>
    <row r="376" spans="2:7" hidden="1" x14ac:dyDescent="0.35">
      <c r="B376" t="s">
        <v>827</v>
      </c>
      <c r="C376">
        <v>255</v>
      </c>
      <c r="D376">
        <v>76</v>
      </c>
      <c r="E376">
        <v>9</v>
      </c>
      <c r="F376" t="s">
        <v>883</v>
      </c>
      <c r="G376" t="s">
        <v>885</v>
      </c>
    </row>
    <row r="377" spans="2:7" hidden="1" x14ac:dyDescent="0.35">
      <c r="B377" t="s">
        <v>223</v>
      </c>
      <c r="C377">
        <v>92</v>
      </c>
      <c r="D377">
        <v>5</v>
      </c>
      <c r="E377">
        <v>6</v>
      </c>
      <c r="F377" t="s">
        <v>883</v>
      </c>
      <c r="G377" t="s">
        <v>885</v>
      </c>
    </row>
    <row r="378" spans="2:7" hidden="1" x14ac:dyDescent="0.35">
      <c r="B378" t="s">
        <v>837</v>
      </c>
      <c r="C378">
        <v>113</v>
      </c>
      <c r="D378">
        <v>24</v>
      </c>
      <c r="E378">
        <v>4</v>
      </c>
      <c r="F378" t="s">
        <v>883</v>
      </c>
      <c r="G378" t="s">
        <v>885</v>
      </c>
    </row>
    <row r="379" spans="2:7" hidden="1" x14ac:dyDescent="0.35">
      <c r="B379" t="s">
        <v>840</v>
      </c>
      <c r="C379">
        <v>62</v>
      </c>
      <c r="D379">
        <v>28</v>
      </c>
      <c r="E379">
        <v>5</v>
      </c>
      <c r="F379" t="s">
        <v>883</v>
      </c>
      <c r="G379" t="s">
        <v>885</v>
      </c>
    </row>
    <row r="380" spans="2:7" hidden="1" x14ac:dyDescent="0.35">
      <c r="B380" t="s">
        <v>840</v>
      </c>
      <c r="C380">
        <v>79</v>
      </c>
      <c r="D380">
        <v>5</v>
      </c>
      <c r="E380">
        <v>6</v>
      </c>
      <c r="F380" t="s">
        <v>883</v>
      </c>
      <c r="G380" t="s">
        <v>885</v>
      </c>
    </row>
    <row r="381" spans="2:7" hidden="1" x14ac:dyDescent="0.35">
      <c r="B381" t="s">
        <v>344</v>
      </c>
      <c r="C381">
        <v>32</v>
      </c>
      <c r="D381">
        <v>3</v>
      </c>
      <c r="E381">
        <v>8</v>
      </c>
      <c r="F381" t="s">
        <v>883</v>
      </c>
      <c r="G381" t="s">
        <v>885</v>
      </c>
    </row>
    <row r="382" spans="2:7" hidden="1" x14ac:dyDescent="0.35">
      <c r="B382" t="s">
        <v>187</v>
      </c>
      <c r="C382">
        <v>100</v>
      </c>
      <c r="D382">
        <v>28</v>
      </c>
      <c r="E382">
        <v>2</v>
      </c>
      <c r="F382" t="s">
        <v>883</v>
      </c>
      <c r="G382" t="s">
        <v>885</v>
      </c>
    </row>
    <row r="383" spans="2:7" hidden="1" x14ac:dyDescent="0.35">
      <c r="B383" t="s">
        <v>843</v>
      </c>
      <c r="C383">
        <v>284</v>
      </c>
      <c r="D383">
        <v>44</v>
      </c>
      <c r="E383">
        <v>6</v>
      </c>
      <c r="F383" t="s">
        <v>883</v>
      </c>
      <c r="G383" t="s">
        <v>885</v>
      </c>
    </row>
    <row r="384" spans="2:7" hidden="1" x14ac:dyDescent="0.35">
      <c r="B384" t="s">
        <v>844</v>
      </c>
      <c r="C384">
        <v>85</v>
      </c>
      <c r="D384">
        <v>24</v>
      </c>
      <c r="E384">
        <v>10</v>
      </c>
      <c r="F384" t="s">
        <v>883</v>
      </c>
      <c r="G384" t="s">
        <v>885</v>
      </c>
    </row>
    <row r="385" spans="2:7" hidden="1" x14ac:dyDescent="0.35">
      <c r="B385" t="s">
        <v>345</v>
      </c>
      <c r="C385">
        <v>246</v>
      </c>
      <c r="D385">
        <v>98</v>
      </c>
      <c r="E385">
        <v>5</v>
      </c>
      <c r="F385" t="s">
        <v>883</v>
      </c>
      <c r="G385" t="s">
        <v>885</v>
      </c>
    </row>
    <row r="386" spans="2:7" hidden="1" x14ac:dyDescent="0.35">
      <c r="B386" t="s">
        <v>847</v>
      </c>
      <c r="C386">
        <v>47</v>
      </c>
      <c r="D386">
        <v>20</v>
      </c>
      <c r="E386">
        <v>7</v>
      </c>
      <c r="F386" t="s">
        <v>883</v>
      </c>
      <c r="G386" t="s">
        <v>885</v>
      </c>
    </row>
    <row r="387" spans="2:7" hidden="1" x14ac:dyDescent="0.35">
      <c r="B387" t="s">
        <v>847</v>
      </c>
      <c r="C387">
        <v>33</v>
      </c>
      <c r="D387">
        <v>9</v>
      </c>
      <c r="E387">
        <v>2</v>
      </c>
      <c r="F387" t="s">
        <v>883</v>
      </c>
      <c r="G387" t="s">
        <v>885</v>
      </c>
    </row>
    <row r="388" spans="2:7" hidden="1" x14ac:dyDescent="0.35">
      <c r="B388" t="s">
        <v>847</v>
      </c>
      <c r="C388">
        <v>15</v>
      </c>
      <c r="D388">
        <v>6</v>
      </c>
      <c r="E388">
        <v>2</v>
      </c>
      <c r="F388" t="s">
        <v>883</v>
      </c>
      <c r="G388" t="s">
        <v>885</v>
      </c>
    </row>
    <row r="389" spans="2:7" hidden="1" x14ac:dyDescent="0.35">
      <c r="B389" t="s">
        <v>847</v>
      </c>
      <c r="C389">
        <v>101</v>
      </c>
      <c r="D389">
        <v>11</v>
      </c>
      <c r="E389">
        <v>2</v>
      </c>
      <c r="F389" t="s">
        <v>883</v>
      </c>
      <c r="G389" t="s">
        <v>885</v>
      </c>
    </row>
    <row r="390" spans="2:7" hidden="1" x14ac:dyDescent="0.35">
      <c r="B390" t="s">
        <v>847</v>
      </c>
      <c r="C390">
        <v>31</v>
      </c>
      <c r="D390">
        <v>9</v>
      </c>
      <c r="E390">
        <v>2</v>
      </c>
      <c r="F390" t="s">
        <v>883</v>
      </c>
      <c r="G390" t="s">
        <v>885</v>
      </c>
    </row>
    <row r="391" spans="2:7" hidden="1" x14ac:dyDescent="0.35">
      <c r="B391" t="s">
        <v>847</v>
      </c>
      <c r="C391">
        <v>206</v>
      </c>
      <c r="D391">
        <v>18</v>
      </c>
      <c r="E391">
        <v>4</v>
      </c>
      <c r="F391" t="s">
        <v>883</v>
      </c>
      <c r="G391" t="s">
        <v>885</v>
      </c>
    </row>
    <row r="392" spans="2:7" hidden="1" x14ac:dyDescent="0.35">
      <c r="B392" t="s">
        <v>849</v>
      </c>
      <c r="C392">
        <v>212</v>
      </c>
      <c r="D392">
        <v>97</v>
      </c>
      <c r="E392">
        <v>7</v>
      </c>
      <c r="F392" t="s">
        <v>883</v>
      </c>
      <c r="G392" t="s">
        <v>885</v>
      </c>
    </row>
    <row r="393" spans="2:7" hidden="1" x14ac:dyDescent="0.35">
      <c r="B393" t="s">
        <v>347</v>
      </c>
      <c r="C393">
        <v>61</v>
      </c>
      <c r="D393">
        <v>3</v>
      </c>
      <c r="E393">
        <v>4</v>
      </c>
      <c r="F393" t="s">
        <v>883</v>
      </c>
      <c r="G393" t="s">
        <v>885</v>
      </c>
    </row>
    <row r="394" spans="2:7" hidden="1" x14ac:dyDescent="0.35">
      <c r="B394" t="s">
        <v>188</v>
      </c>
      <c r="C394">
        <v>53</v>
      </c>
      <c r="D394">
        <v>2</v>
      </c>
      <c r="E394">
        <v>4</v>
      </c>
      <c r="F394" t="s">
        <v>883</v>
      </c>
      <c r="G394" t="s">
        <v>885</v>
      </c>
    </row>
    <row r="395" spans="2:7" hidden="1" x14ac:dyDescent="0.35">
      <c r="B395" t="s">
        <v>855</v>
      </c>
      <c r="C395">
        <v>14</v>
      </c>
      <c r="D395">
        <v>7</v>
      </c>
      <c r="E395">
        <v>2</v>
      </c>
      <c r="F395" t="s">
        <v>883</v>
      </c>
      <c r="G395" t="s">
        <v>885</v>
      </c>
    </row>
    <row r="396" spans="2:7" hidden="1" x14ac:dyDescent="0.35">
      <c r="B396" t="s">
        <v>856</v>
      </c>
      <c r="C396">
        <v>21</v>
      </c>
      <c r="D396">
        <v>4</v>
      </c>
      <c r="E396">
        <v>3</v>
      </c>
      <c r="F396" t="s">
        <v>883</v>
      </c>
      <c r="G396" t="s">
        <v>885</v>
      </c>
    </row>
    <row r="397" spans="2:7" hidden="1" x14ac:dyDescent="0.35">
      <c r="B397" t="s">
        <v>144</v>
      </c>
      <c r="C397">
        <v>37</v>
      </c>
      <c r="D397">
        <v>17</v>
      </c>
      <c r="E397">
        <v>3</v>
      </c>
      <c r="F397" t="s">
        <v>883</v>
      </c>
      <c r="G397" t="s">
        <v>885</v>
      </c>
    </row>
    <row r="398" spans="2:7" hidden="1" x14ac:dyDescent="0.35">
      <c r="B398" t="s">
        <v>144</v>
      </c>
      <c r="C398">
        <v>122</v>
      </c>
      <c r="D398">
        <v>11</v>
      </c>
      <c r="E398">
        <v>4</v>
      </c>
      <c r="F398" t="s">
        <v>883</v>
      </c>
      <c r="G398" t="s">
        <v>885</v>
      </c>
    </row>
    <row r="399" spans="2:7" hidden="1" x14ac:dyDescent="0.35">
      <c r="B399" t="s">
        <v>858</v>
      </c>
      <c r="C399">
        <v>62</v>
      </c>
      <c r="D399">
        <v>11</v>
      </c>
      <c r="E399">
        <v>7</v>
      </c>
      <c r="F399" t="s">
        <v>883</v>
      </c>
      <c r="G399" t="s">
        <v>885</v>
      </c>
    </row>
    <row r="400" spans="2:7" hidden="1" x14ac:dyDescent="0.35">
      <c r="B400" t="s">
        <v>860</v>
      </c>
      <c r="C400">
        <v>18</v>
      </c>
      <c r="D400">
        <v>3</v>
      </c>
      <c r="E400">
        <v>2</v>
      </c>
      <c r="F400" t="s">
        <v>883</v>
      </c>
      <c r="G400" t="s">
        <v>885</v>
      </c>
    </row>
    <row r="401" spans="2:7" hidden="1" x14ac:dyDescent="0.35">
      <c r="B401" t="s">
        <v>862</v>
      </c>
      <c r="C401">
        <v>24</v>
      </c>
      <c r="D401">
        <v>11</v>
      </c>
      <c r="E401">
        <v>3</v>
      </c>
      <c r="F401" t="s">
        <v>883</v>
      </c>
      <c r="G401" t="s">
        <v>885</v>
      </c>
    </row>
    <row r="402" spans="2:7" hidden="1" x14ac:dyDescent="0.35">
      <c r="B402" t="s">
        <v>867</v>
      </c>
      <c r="C402">
        <v>25</v>
      </c>
      <c r="D402">
        <v>2</v>
      </c>
      <c r="E402">
        <v>2</v>
      </c>
      <c r="F402" t="s">
        <v>883</v>
      </c>
      <c r="G402" t="s">
        <v>885</v>
      </c>
    </row>
    <row r="403" spans="2:7" hidden="1" x14ac:dyDescent="0.35">
      <c r="B403" t="s">
        <v>868</v>
      </c>
      <c r="C403">
        <v>46</v>
      </c>
      <c r="D403">
        <v>13</v>
      </c>
      <c r="E403">
        <v>3</v>
      </c>
      <c r="F403" t="s">
        <v>883</v>
      </c>
      <c r="G403" t="s">
        <v>885</v>
      </c>
    </row>
    <row r="404" spans="2:7" hidden="1" x14ac:dyDescent="0.35">
      <c r="B404" t="s">
        <v>869</v>
      </c>
      <c r="C404">
        <v>11</v>
      </c>
      <c r="D404">
        <v>5</v>
      </c>
      <c r="E404">
        <v>2</v>
      </c>
      <c r="F404" t="s">
        <v>883</v>
      </c>
      <c r="G404" t="s">
        <v>885</v>
      </c>
    </row>
    <row r="405" spans="2:7" hidden="1" x14ac:dyDescent="0.35">
      <c r="B405" t="s">
        <v>870</v>
      </c>
      <c r="C405">
        <v>27</v>
      </c>
      <c r="D405">
        <v>4</v>
      </c>
      <c r="E405">
        <v>1</v>
      </c>
      <c r="F405" t="s">
        <v>883</v>
      </c>
      <c r="G405" t="s">
        <v>885</v>
      </c>
    </row>
    <row r="406" spans="2:7" hidden="1" x14ac:dyDescent="0.35">
      <c r="B406" t="s">
        <v>872</v>
      </c>
      <c r="C406">
        <v>29</v>
      </c>
      <c r="D406">
        <v>10</v>
      </c>
      <c r="E406">
        <v>4</v>
      </c>
      <c r="F406" t="s">
        <v>883</v>
      </c>
      <c r="G406" t="s">
        <v>885</v>
      </c>
    </row>
    <row r="407" spans="2:7" hidden="1" x14ac:dyDescent="0.35">
      <c r="B407" t="s">
        <v>227</v>
      </c>
      <c r="C407">
        <v>49</v>
      </c>
      <c r="D407">
        <v>5</v>
      </c>
      <c r="E407">
        <v>4</v>
      </c>
      <c r="F407" t="s">
        <v>883</v>
      </c>
      <c r="G407" t="s">
        <v>885</v>
      </c>
    </row>
    <row r="408" spans="2:7" hidden="1" x14ac:dyDescent="0.35">
      <c r="B408" t="s">
        <v>876</v>
      </c>
      <c r="C408">
        <v>97</v>
      </c>
      <c r="D408">
        <v>12</v>
      </c>
      <c r="E408">
        <v>2</v>
      </c>
      <c r="F408" t="s">
        <v>883</v>
      </c>
      <c r="G408" t="s">
        <v>885</v>
      </c>
    </row>
    <row r="409" spans="2:7" hidden="1" x14ac:dyDescent="0.35">
      <c r="B409" t="s">
        <v>876</v>
      </c>
      <c r="C409">
        <v>14</v>
      </c>
      <c r="D409">
        <v>5</v>
      </c>
      <c r="E409">
        <v>1</v>
      </c>
      <c r="F409" t="s">
        <v>883</v>
      </c>
      <c r="G409" t="s">
        <v>885</v>
      </c>
    </row>
    <row r="410" spans="2:7" hidden="1" x14ac:dyDescent="0.35">
      <c r="B410" t="s">
        <v>876</v>
      </c>
      <c r="C410">
        <v>19</v>
      </c>
      <c r="D410">
        <v>8</v>
      </c>
      <c r="E410">
        <v>2</v>
      </c>
      <c r="F410" t="s">
        <v>883</v>
      </c>
      <c r="G410" t="s">
        <v>885</v>
      </c>
    </row>
    <row r="411" spans="2:7" hidden="1" x14ac:dyDescent="0.35">
      <c r="B411" t="s">
        <v>350</v>
      </c>
      <c r="C411">
        <v>207</v>
      </c>
      <c r="D411">
        <v>37</v>
      </c>
      <c r="E411">
        <v>4</v>
      </c>
      <c r="F411" t="s">
        <v>883</v>
      </c>
      <c r="G411" t="s">
        <v>885</v>
      </c>
    </row>
    <row r="412" spans="2:7" hidden="1" x14ac:dyDescent="0.35">
      <c r="B412" t="s">
        <v>351</v>
      </c>
      <c r="C412">
        <v>66</v>
      </c>
      <c r="D412">
        <v>-12</v>
      </c>
      <c r="E412">
        <v>5</v>
      </c>
      <c r="F412" t="s">
        <v>883</v>
      </c>
      <c r="G412" t="s">
        <v>886</v>
      </c>
    </row>
    <row r="413" spans="2:7" hidden="1" x14ac:dyDescent="0.35">
      <c r="B413" t="s">
        <v>146</v>
      </c>
      <c r="C413">
        <v>116</v>
      </c>
      <c r="D413">
        <v>16</v>
      </c>
      <c r="E413">
        <v>4</v>
      </c>
      <c r="F413" t="s">
        <v>883</v>
      </c>
      <c r="G413" t="s">
        <v>886</v>
      </c>
    </row>
    <row r="414" spans="2:7" hidden="1" x14ac:dyDescent="0.35">
      <c r="B414" t="s">
        <v>146</v>
      </c>
      <c r="C414">
        <v>107</v>
      </c>
      <c r="D414">
        <v>36</v>
      </c>
      <c r="E414">
        <v>6</v>
      </c>
      <c r="F414" t="s">
        <v>883</v>
      </c>
      <c r="G414" t="s">
        <v>886</v>
      </c>
    </row>
    <row r="415" spans="2:7" hidden="1" x14ac:dyDescent="0.35">
      <c r="B415" t="s">
        <v>379</v>
      </c>
      <c r="C415">
        <v>107</v>
      </c>
      <c r="D415">
        <v>-54</v>
      </c>
      <c r="E415">
        <v>4</v>
      </c>
      <c r="F415" t="s">
        <v>883</v>
      </c>
      <c r="G415" t="s">
        <v>886</v>
      </c>
    </row>
    <row r="416" spans="2:7" hidden="1" x14ac:dyDescent="0.35">
      <c r="B416" t="s">
        <v>401</v>
      </c>
      <c r="C416">
        <v>116</v>
      </c>
      <c r="D416">
        <v>-56</v>
      </c>
      <c r="E416">
        <v>5</v>
      </c>
      <c r="F416" t="s">
        <v>883</v>
      </c>
      <c r="G416" t="s">
        <v>886</v>
      </c>
    </row>
    <row r="417" spans="2:7" hidden="1" x14ac:dyDescent="0.35">
      <c r="B417" t="s">
        <v>416</v>
      </c>
      <c r="C417">
        <v>53</v>
      </c>
      <c r="D417">
        <v>1</v>
      </c>
      <c r="E417">
        <v>4</v>
      </c>
      <c r="F417" t="s">
        <v>883</v>
      </c>
      <c r="G417" t="s">
        <v>886</v>
      </c>
    </row>
    <row r="418" spans="2:7" hidden="1" x14ac:dyDescent="0.35">
      <c r="B418" t="s">
        <v>416</v>
      </c>
      <c r="C418">
        <v>158</v>
      </c>
      <c r="D418">
        <v>69</v>
      </c>
      <c r="E418">
        <v>3</v>
      </c>
      <c r="F418" t="s">
        <v>883</v>
      </c>
      <c r="G418" t="s">
        <v>886</v>
      </c>
    </row>
    <row r="419" spans="2:7" hidden="1" x14ac:dyDescent="0.35">
      <c r="B419" t="s">
        <v>416</v>
      </c>
      <c r="C419">
        <v>105</v>
      </c>
      <c r="D419">
        <v>20</v>
      </c>
      <c r="E419">
        <v>2</v>
      </c>
      <c r="F419" t="s">
        <v>883</v>
      </c>
      <c r="G419" t="s">
        <v>886</v>
      </c>
    </row>
    <row r="420" spans="2:7" hidden="1" x14ac:dyDescent="0.35">
      <c r="B420" t="s">
        <v>5</v>
      </c>
      <c r="C420">
        <v>55</v>
      </c>
      <c r="D420">
        <v>-39</v>
      </c>
      <c r="E420">
        <v>4</v>
      </c>
      <c r="F420" t="s">
        <v>883</v>
      </c>
      <c r="G420" t="s">
        <v>886</v>
      </c>
    </row>
    <row r="421" spans="2:7" hidden="1" x14ac:dyDescent="0.35">
      <c r="B421" t="s">
        <v>426</v>
      </c>
      <c r="C421">
        <v>133</v>
      </c>
      <c r="D421">
        <v>12</v>
      </c>
      <c r="E421">
        <v>5</v>
      </c>
      <c r="F421" t="s">
        <v>883</v>
      </c>
      <c r="G421" t="s">
        <v>886</v>
      </c>
    </row>
    <row r="422" spans="2:7" hidden="1" x14ac:dyDescent="0.35">
      <c r="B422" t="s">
        <v>426</v>
      </c>
      <c r="C422">
        <v>40</v>
      </c>
      <c r="D422">
        <v>-7</v>
      </c>
      <c r="E422">
        <v>3</v>
      </c>
      <c r="F422" t="s">
        <v>883</v>
      </c>
      <c r="G422" t="s">
        <v>886</v>
      </c>
    </row>
    <row r="423" spans="2:7" hidden="1" x14ac:dyDescent="0.35">
      <c r="B423" t="s">
        <v>451</v>
      </c>
      <c r="C423">
        <v>27</v>
      </c>
      <c r="D423">
        <v>-25</v>
      </c>
      <c r="E423">
        <v>2</v>
      </c>
      <c r="F423" t="s">
        <v>883</v>
      </c>
      <c r="G423" t="s">
        <v>886</v>
      </c>
    </row>
    <row r="424" spans="2:7" hidden="1" x14ac:dyDescent="0.35">
      <c r="B424" t="s">
        <v>235</v>
      </c>
      <c r="C424">
        <v>28</v>
      </c>
      <c r="D424">
        <v>-26</v>
      </c>
      <c r="E424">
        <v>2</v>
      </c>
      <c r="F424" t="s">
        <v>883</v>
      </c>
      <c r="G424" t="s">
        <v>886</v>
      </c>
    </row>
    <row r="425" spans="2:7" hidden="1" x14ac:dyDescent="0.35">
      <c r="B425" t="s">
        <v>13</v>
      </c>
      <c r="C425">
        <v>44</v>
      </c>
      <c r="D425">
        <v>-8</v>
      </c>
      <c r="E425">
        <v>3</v>
      </c>
      <c r="F425" t="s">
        <v>883</v>
      </c>
      <c r="G425" t="s">
        <v>886</v>
      </c>
    </row>
    <row r="426" spans="2:7" hidden="1" x14ac:dyDescent="0.35">
      <c r="B426" t="s">
        <v>237</v>
      </c>
      <c r="C426">
        <v>105</v>
      </c>
      <c r="D426">
        <v>46</v>
      </c>
      <c r="E426">
        <v>2</v>
      </c>
      <c r="F426" t="s">
        <v>883</v>
      </c>
      <c r="G426" t="s">
        <v>886</v>
      </c>
    </row>
    <row r="427" spans="2:7" hidden="1" x14ac:dyDescent="0.35">
      <c r="B427" t="s">
        <v>199</v>
      </c>
      <c r="C427">
        <v>30</v>
      </c>
      <c r="D427">
        <v>-5</v>
      </c>
      <c r="E427">
        <v>5</v>
      </c>
      <c r="F427" t="s">
        <v>883</v>
      </c>
      <c r="G427" t="s">
        <v>886</v>
      </c>
    </row>
    <row r="428" spans="2:7" hidden="1" x14ac:dyDescent="0.35">
      <c r="B428" t="s">
        <v>474</v>
      </c>
      <c r="C428">
        <v>74</v>
      </c>
      <c r="D428">
        <v>29</v>
      </c>
      <c r="E428">
        <v>3</v>
      </c>
      <c r="F428" t="s">
        <v>883</v>
      </c>
      <c r="G428" t="s">
        <v>886</v>
      </c>
    </row>
    <row r="429" spans="2:7" hidden="1" x14ac:dyDescent="0.35">
      <c r="B429" t="s">
        <v>477</v>
      </c>
      <c r="C429">
        <v>27</v>
      </c>
      <c r="D429">
        <v>-15</v>
      </c>
      <c r="E429">
        <v>1</v>
      </c>
      <c r="F429" t="s">
        <v>883</v>
      </c>
      <c r="G429" t="s">
        <v>886</v>
      </c>
    </row>
    <row r="430" spans="2:7" hidden="1" x14ac:dyDescent="0.35">
      <c r="B430" t="s">
        <v>488</v>
      </c>
      <c r="C430">
        <v>148</v>
      </c>
      <c r="D430">
        <v>52</v>
      </c>
      <c r="E430">
        <v>5</v>
      </c>
      <c r="F430" t="s">
        <v>883</v>
      </c>
      <c r="G430" t="s">
        <v>886</v>
      </c>
    </row>
    <row r="431" spans="2:7" hidden="1" x14ac:dyDescent="0.35">
      <c r="B431" t="s">
        <v>245</v>
      </c>
      <c r="C431">
        <v>17</v>
      </c>
      <c r="D431">
        <v>6</v>
      </c>
      <c r="E431">
        <v>1</v>
      </c>
      <c r="F431" t="s">
        <v>883</v>
      </c>
      <c r="G431" t="s">
        <v>886</v>
      </c>
    </row>
    <row r="432" spans="2:7" hidden="1" x14ac:dyDescent="0.35">
      <c r="B432" t="s">
        <v>247</v>
      </c>
      <c r="C432">
        <v>97</v>
      </c>
      <c r="D432">
        <v>17</v>
      </c>
      <c r="E432">
        <v>2</v>
      </c>
      <c r="F432" t="s">
        <v>883</v>
      </c>
      <c r="G432" t="s">
        <v>886</v>
      </c>
    </row>
    <row r="433" spans="2:7" hidden="1" x14ac:dyDescent="0.35">
      <c r="B433" t="s">
        <v>247</v>
      </c>
      <c r="C433">
        <v>149</v>
      </c>
      <c r="D433">
        <v>36</v>
      </c>
      <c r="E433">
        <v>3</v>
      </c>
      <c r="F433" t="s">
        <v>883</v>
      </c>
      <c r="G433" t="s">
        <v>886</v>
      </c>
    </row>
    <row r="434" spans="2:7" hidden="1" x14ac:dyDescent="0.35">
      <c r="B434" t="s">
        <v>249</v>
      </c>
      <c r="C434">
        <v>75</v>
      </c>
      <c r="D434">
        <v>-25</v>
      </c>
      <c r="E434">
        <v>3</v>
      </c>
      <c r="F434" t="s">
        <v>883</v>
      </c>
      <c r="G434" t="s">
        <v>886</v>
      </c>
    </row>
    <row r="435" spans="2:7" hidden="1" x14ac:dyDescent="0.35">
      <c r="B435" t="s">
        <v>249</v>
      </c>
      <c r="C435">
        <v>17</v>
      </c>
      <c r="D435">
        <v>-9</v>
      </c>
      <c r="E435">
        <v>3</v>
      </c>
      <c r="F435" t="s">
        <v>883</v>
      </c>
      <c r="G435" t="s">
        <v>886</v>
      </c>
    </row>
    <row r="436" spans="2:7" hidden="1" x14ac:dyDescent="0.35">
      <c r="B436" t="s">
        <v>496</v>
      </c>
      <c r="C436">
        <v>67</v>
      </c>
      <c r="D436">
        <v>-42</v>
      </c>
      <c r="E436">
        <v>3</v>
      </c>
      <c r="F436" t="s">
        <v>883</v>
      </c>
      <c r="G436" t="s">
        <v>886</v>
      </c>
    </row>
    <row r="437" spans="2:7" hidden="1" x14ac:dyDescent="0.35">
      <c r="B437" t="s">
        <v>500</v>
      </c>
      <c r="C437">
        <v>49</v>
      </c>
      <c r="D437">
        <v>-31</v>
      </c>
      <c r="E437">
        <v>2</v>
      </c>
      <c r="F437" t="s">
        <v>883</v>
      </c>
      <c r="G437" t="s">
        <v>886</v>
      </c>
    </row>
    <row r="438" spans="2:7" hidden="1" x14ac:dyDescent="0.35">
      <c r="B438" t="s">
        <v>251</v>
      </c>
      <c r="C438">
        <v>44</v>
      </c>
      <c r="D438">
        <v>-32</v>
      </c>
      <c r="E438">
        <v>3</v>
      </c>
      <c r="F438" t="s">
        <v>883</v>
      </c>
      <c r="G438" t="s">
        <v>886</v>
      </c>
    </row>
    <row r="439" spans="2:7" hidden="1" x14ac:dyDescent="0.35">
      <c r="B439" t="s">
        <v>33</v>
      </c>
      <c r="C439">
        <v>17</v>
      </c>
      <c r="D439">
        <v>-3</v>
      </c>
      <c r="E439">
        <v>2</v>
      </c>
      <c r="F439" t="s">
        <v>883</v>
      </c>
      <c r="G439" t="s">
        <v>886</v>
      </c>
    </row>
    <row r="440" spans="2:7" hidden="1" x14ac:dyDescent="0.35">
      <c r="B440" t="s">
        <v>502</v>
      </c>
      <c r="C440">
        <v>31</v>
      </c>
      <c r="D440">
        <v>-11</v>
      </c>
      <c r="E440">
        <v>4</v>
      </c>
      <c r="F440" t="s">
        <v>883</v>
      </c>
      <c r="G440" t="s">
        <v>886</v>
      </c>
    </row>
    <row r="441" spans="2:7" hidden="1" x14ac:dyDescent="0.35">
      <c r="B441" t="s">
        <v>257</v>
      </c>
      <c r="C441">
        <v>8</v>
      </c>
      <c r="D441">
        <v>-6</v>
      </c>
      <c r="E441">
        <v>1</v>
      </c>
      <c r="F441" t="s">
        <v>883</v>
      </c>
      <c r="G441" t="s">
        <v>886</v>
      </c>
    </row>
    <row r="442" spans="2:7" hidden="1" x14ac:dyDescent="0.35">
      <c r="B442" t="s">
        <v>37</v>
      </c>
      <c r="C442">
        <v>81</v>
      </c>
      <c r="D442">
        <v>-51</v>
      </c>
      <c r="E442">
        <v>7</v>
      </c>
      <c r="F442" t="s">
        <v>883</v>
      </c>
      <c r="G442" t="s">
        <v>886</v>
      </c>
    </row>
    <row r="443" spans="2:7" hidden="1" x14ac:dyDescent="0.35">
      <c r="B443" t="s">
        <v>37</v>
      </c>
      <c r="C443">
        <v>32</v>
      </c>
      <c r="D443">
        <v>-8</v>
      </c>
      <c r="E443">
        <v>2</v>
      </c>
      <c r="F443" t="s">
        <v>883</v>
      </c>
      <c r="G443" t="s">
        <v>886</v>
      </c>
    </row>
    <row r="444" spans="2:7" hidden="1" x14ac:dyDescent="0.35">
      <c r="B444" t="s">
        <v>41</v>
      </c>
      <c r="C444">
        <v>29</v>
      </c>
      <c r="D444">
        <v>10</v>
      </c>
      <c r="E444">
        <v>2</v>
      </c>
      <c r="F444" t="s">
        <v>883</v>
      </c>
      <c r="G444" t="s">
        <v>886</v>
      </c>
    </row>
    <row r="445" spans="2:7" hidden="1" x14ac:dyDescent="0.35">
      <c r="B445" t="s">
        <v>519</v>
      </c>
      <c r="C445">
        <v>48</v>
      </c>
      <c r="D445">
        <v>-8</v>
      </c>
      <c r="E445">
        <v>8</v>
      </c>
      <c r="F445" t="s">
        <v>883</v>
      </c>
      <c r="G445" t="s">
        <v>886</v>
      </c>
    </row>
    <row r="446" spans="2:7" hidden="1" x14ac:dyDescent="0.35">
      <c r="B446" t="s">
        <v>260</v>
      </c>
      <c r="C446">
        <v>26</v>
      </c>
      <c r="D446">
        <v>-24</v>
      </c>
      <c r="E446">
        <v>1</v>
      </c>
      <c r="F446" t="s">
        <v>883</v>
      </c>
      <c r="G446" t="s">
        <v>886</v>
      </c>
    </row>
    <row r="447" spans="2:7" hidden="1" x14ac:dyDescent="0.35">
      <c r="B447" t="s">
        <v>260</v>
      </c>
      <c r="C447">
        <v>16</v>
      </c>
      <c r="D447">
        <v>-12</v>
      </c>
      <c r="E447">
        <v>2</v>
      </c>
      <c r="F447" t="s">
        <v>883</v>
      </c>
      <c r="G447" t="s">
        <v>886</v>
      </c>
    </row>
    <row r="448" spans="2:7" hidden="1" x14ac:dyDescent="0.35">
      <c r="B448" t="s">
        <v>521</v>
      </c>
      <c r="C448">
        <v>26</v>
      </c>
      <c r="D448">
        <v>-5</v>
      </c>
      <c r="E448">
        <v>2</v>
      </c>
      <c r="F448" t="s">
        <v>883</v>
      </c>
      <c r="G448" t="s">
        <v>886</v>
      </c>
    </row>
    <row r="449" spans="2:7" hidden="1" x14ac:dyDescent="0.35">
      <c r="B449" t="s">
        <v>523</v>
      </c>
      <c r="C449">
        <v>96</v>
      </c>
      <c r="D449">
        <v>22</v>
      </c>
      <c r="E449">
        <v>5</v>
      </c>
      <c r="F449" t="s">
        <v>883</v>
      </c>
      <c r="G449" t="s">
        <v>886</v>
      </c>
    </row>
    <row r="450" spans="2:7" hidden="1" x14ac:dyDescent="0.35">
      <c r="B450" t="s">
        <v>527</v>
      </c>
      <c r="C450">
        <v>16</v>
      </c>
      <c r="D450">
        <v>-5</v>
      </c>
      <c r="E450">
        <v>2</v>
      </c>
      <c r="F450" t="s">
        <v>883</v>
      </c>
      <c r="G450" t="s">
        <v>886</v>
      </c>
    </row>
    <row r="451" spans="2:7" hidden="1" x14ac:dyDescent="0.35">
      <c r="B451" t="s">
        <v>264</v>
      </c>
      <c r="C451">
        <v>43</v>
      </c>
      <c r="D451">
        <v>-43</v>
      </c>
      <c r="E451">
        <v>7</v>
      </c>
      <c r="F451" t="s">
        <v>883</v>
      </c>
      <c r="G451" t="s">
        <v>886</v>
      </c>
    </row>
    <row r="452" spans="2:7" hidden="1" x14ac:dyDescent="0.35">
      <c r="B452" t="s">
        <v>264</v>
      </c>
      <c r="C452">
        <v>30</v>
      </c>
      <c r="D452">
        <v>-10</v>
      </c>
      <c r="E452">
        <v>2</v>
      </c>
      <c r="F452" t="s">
        <v>883</v>
      </c>
      <c r="G452" t="s">
        <v>886</v>
      </c>
    </row>
    <row r="453" spans="2:7" hidden="1" x14ac:dyDescent="0.35">
      <c r="B453" t="s">
        <v>268</v>
      </c>
      <c r="C453">
        <v>40</v>
      </c>
      <c r="D453">
        <v>-37</v>
      </c>
      <c r="E453">
        <v>3</v>
      </c>
      <c r="F453" t="s">
        <v>883</v>
      </c>
      <c r="G453" t="s">
        <v>886</v>
      </c>
    </row>
    <row r="454" spans="2:7" hidden="1" x14ac:dyDescent="0.35">
      <c r="B454" t="s">
        <v>536</v>
      </c>
      <c r="C454">
        <v>74</v>
      </c>
      <c r="D454">
        <v>-51</v>
      </c>
      <c r="E454">
        <v>3</v>
      </c>
      <c r="F454" t="s">
        <v>883</v>
      </c>
      <c r="G454" t="s">
        <v>886</v>
      </c>
    </row>
    <row r="455" spans="2:7" hidden="1" x14ac:dyDescent="0.35">
      <c r="B455" t="s">
        <v>539</v>
      </c>
      <c r="C455">
        <v>44</v>
      </c>
      <c r="D455">
        <v>-8</v>
      </c>
      <c r="E455">
        <v>3</v>
      </c>
      <c r="F455" t="s">
        <v>883</v>
      </c>
      <c r="G455" t="s">
        <v>886</v>
      </c>
    </row>
    <row r="456" spans="2:7" hidden="1" x14ac:dyDescent="0.35">
      <c r="B456" t="s">
        <v>51</v>
      </c>
      <c r="C456">
        <v>22</v>
      </c>
      <c r="D456">
        <v>-12</v>
      </c>
      <c r="E456">
        <v>3</v>
      </c>
      <c r="F456" t="s">
        <v>883</v>
      </c>
      <c r="G456" t="s">
        <v>886</v>
      </c>
    </row>
    <row r="457" spans="2:7" hidden="1" x14ac:dyDescent="0.35">
      <c r="B457" t="s">
        <v>53</v>
      </c>
      <c r="C457">
        <v>76</v>
      </c>
      <c r="D457">
        <v>27</v>
      </c>
      <c r="E457">
        <v>5</v>
      </c>
      <c r="F457" t="s">
        <v>883</v>
      </c>
      <c r="G457" t="s">
        <v>886</v>
      </c>
    </row>
    <row r="458" spans="2:7" hidden="1" x14ac:dyDescent="0.35">
      <c r="B458" t="s">
        <v>542</v>
      </c>
      <c r="C458">
        <v>77</v>
      </c>
      <c r="D458">
        <v>-43</v>
      </c>
      <c r="E458">
        <v>8</v>
      </c>
      <c r="F458" t="s">
        <v>883</v>
      </c>
      <c r="G458" t="s">
        <v>886</v>
      </c>
    </row>
    <row r="459" spans="2:7" hidden="1" x14ac:dyDescent="0.35">
      <c r="B459" t="s">
        <v>543</v>
      </c>
      <c r="C459">
        <v>93</v>
      </c>
      <c r="D459">
        <v>-65</v>
      </c>
      <c r="E459">
        <v>4</v>
      </c>
      <c r="F459" t="s">
        <v>883</v>
      </c>
      <c r="G459" t="s">
        <v>886</v>
      </c>
    </row>
    <row r="460" spans="2:7" hidden="1" x14ac:dyDescent="0.35">
      <c r="B460" t="s">
        <v>545</v>
      </c>
      <c r="C460">
        <v>80</v>
      </c>
      <c r="D460">
        <v>-19</v>
      </c>
      <c r="E460">
        <v>5</v>
      </c>
      <c r="F460" t="s">
        <v>883</v>
      </c>
      <c r="G460" t="s">
        <v>886</v>
      </c>
    </row>
    <row r="461" spans="2:7" hidden="1" x14ac:dyDescent="0.35">
      <c r="B461" t="s">
        <v>545</v>
      </c>
      <c r="C461">
        <v>47</v>
      </c>
      <c r="D461">
        <v>-3</v>
      </c>
      <c r="E461">
        <v>2</v>
      </c>
      <c r="F461" t="s">
        <v>883</v>
      </c>
      <c r="G461" t="s">
        <v>886</v>
      </c>
    </row>
    <row r="462" spans="2:7" hidden="1" x14ac:dyDescent="0.35">
      <c r="B462" t="s">
        <v>55</v>
      </c>
      <c r="C462">
        <v>53</v>
      </c>
      <c r="D462">
        <v>15</v>
      </c>
      <c r="E462">
        <v>2</v>
      </c>
      <c r="F462" t="s">
        <v>883</v>
      </c>
      <c r="G462" t="s">
        <v>886</v>
      </c>
    </row>
    <row r="463" spans="2:7" hidden="1" x14ac:dyDescent="0.35">
      <c r="B463" t="s">
        <v>55</v>
      </c>
      <c r="C463">
        <v>165</v>
      </c>
      <c r="D463">
        <v>30</v>
      </c>
      <c r="E463">
        <v>3</v>
      </c>
      <c r="F463" t="s">
        <v>883</v>
      </c>
      <c r="G463" t="s">
        <v>886</v>
      </c>
    </row>
    <row r="464" spans="2:7" hidden="1" x14ac:dyDescent="0.35">
      <c r="B464" t="s">
        <v>55</v>
      </c>
      <c r="C464">
        <v>211</v>
      </c>
      <c r="D464">
        <v>19</v>
      </c>
      <c r="E464">
        <v>8</v>
      </c>
      <c r="F464" t="s">
        <v>883</v>
      </c>
      <c r="G464" t="s">
        <v>886</v>
      </c>
    </row>
    <row r="465" spans="2:7" hidden="1" x14ac:dyDescent="0.35">
      <c r="B465" t="s">
        <v>547</v>
      </c>
      <c r="C465">
        <v>8</v>
      </c>
      <c r="D465">
        <v>-2</v>
      </c>
      <c r="E465">
        <v>1</v>
      </c>
      <c r="F465" t="s">
        <v>883</v>
      </c>
      <c r="G465" t="s">
        <v>886</v>
      </c>
    </row>
    <row r="466" spans="2:7" hidden="1" x14ac:dyDescent="0.35">
      <c r="B466" t="s">
        <v>164</v>
      </c>
      <c r="C466">
        <v>139</v>
      </c>
      <c r="D466">
        <v>14</v>
      </c>
      <c r="E466">
        <v>3</v>
      </c>
      <c r="F466" t="s">
        <v>883</v>
      </c>
      <c r="G466" t="s">
        <v>886</v>
      </c>
    </row>
    <row r="467" spans="2:7" hidden="1" x14ac:dyDescent="0.35">
      <c r="B467" t="s">
        <v>563</v>
      </c>
      <c r="C467">
        <v>50</v>
      </c>
      <c r="D467">
        <v>-17</v>
      </c>
      <c r="E467">
        <v>2</v>
      </c>
      <c r="F467" t="s">
        <v>883</v>
      </c>
      <c r="G467" t="s">
        <v>886</v>
      </c>
    </row>
    <row r="468" spans="2:7" hidden="1" x14ac:dyDescent="0.35">
      <c r="B468" t="s">
        <v>567</v>
      </c>
      <c r="C468">
        <v>45</v>
      </c>
      <c r="D468">
        <v>-28</v>
      </c>
      <c r="E468">
        <v>2</v>
      </c>
      <c r="F468" t="s">
        <v>883</v>
      </c>
      <c r="G468" t="s">
        <v>886</v>
      </c>
    </row>
    <row r="469" spans="2:7" hidden="1" x14ac:dyDescent="0.35">
      <c r="B469" t="s">
        <v>65</v>
      </c>
      <c r="C469">
        <v>25</v>
      </c>
      <c r="D469">
        <v>-11</v>
      </c>
      <c r="E469">
        <v>1</v>
      </c>
      <c r="F469" t="s">
        <v>883</v>
      </c>
      <c r="G469" t="s">
        <v>886</v>
      </c>
    </row>
    <row r="470" spans="2:7" hidden="1" x14ac:dyDescent="0.35">
      <c r="B470" t="s">
        <v>572</v>
      </c>
      <c r="C470">
        <v>44</v>
      </c>
      <c r="D470">
        <v>-34</v>
      </c>
      <c r="E470">
        <v>3</v>
      </c>
      <c r="F470" t="s">
        <v>883</v>
      </c>
      <c r="G470" t="s">
        <v>886</v>
      </c>
    </row>
    <row r="471" spans="2:7" hidden="1" x14ac:dyDescent="0.35">
      <c r="B471" t="s">
        <v>575</v>
      </c>
      <c r="C471">
        <v>12</v>
      </c>
      <c r="D471">
        <v>3</v>
      </c>
      <c r="E471">
        <v>1</v>
      </c>
      <c r="F471" t="s">
        <v>883</v>
      </c>
      <c r="G471" t="s">
        <v>886</v>
      </c>
    </row>
    <row r="472" spans="2:7" hidden="1" x14ac:dyDescent="0.35">
      <c r="B472" t="s">
        <v>284</v>
      </c>
      <c r="C472">
        <v>74</v>
      </c>
      <c r="D472">
        <v>-25</v>
      </c>
      <c r="E472">
        <v>3</v>
      </c>
      <c r="F472" t="s">
        <v>883</v>
      </c>
      <c r="G472" t="s">
        <v>886</v>
      </c>
    </row>
    <row r="473" spans="2:7" hidden="1" x14ac:dyDescent="0.35">
      <c r="B473" t="s">
        <v>286</v>
      </c>
      <c r="C473">
        <v>78</v>
      </c>
      <c r="D473">
        <v>-64</v>
      </c>
      <c r="E473">
        <v>7</v>
      </c>
      <c r="F473" t="s">
        <v>883</v>
      </c>
      <c r="G473" t="s">
        <v>886</v>
      </c>
    </row>
    <row r="474" spans="2:7" hidden="1" x14ac:dyDescent="0.35">
      <c r="B474" t="s">
        <v>585</v>
      </c>
      <c r="C474">
        <v>47</v>
      </c>
      <c r="D474">
        <v>-3</v>
      </c>
      <c r="E474">
        <v>2</v>
      </c>
      <c r="F474" t="s">
        <v>883</v>
      </c>
      <c r="G474" t="s">
        <v>886</v>
      </c>
    </row>
    <row r="475" spans="2:7" hidden="1" x14ac:dyDescent="0.35">
      <c r="B475" t="s">
        <v>585</v>
      </c>
      <c r="C475">
        <v>38</v>
      </c>
      <c r="D475">
        <v>-13</v>
      </c>
      <c r="E475">
        <v>3</v>
      </c>
      <c r="F475" t="s">
        <v>883</v>
      </c>
      <c r="G475" t="s">
        <v>886</v>
      </c>
    </row>
    <row r="476" spans="2:7" hidden="1" x14ac:dyDescent="0.35">
      <c r="B476" t="s">
        <v>587</v>
      </c>
      <c r="C476">
        <v>70</v>
      </c>
      <c r="D476">
        <v>-64</v>
      </c>
      <c r="E476">
        <v>5</v>
      </c>
      <c r="F476" t="s">
        <v>883</v>
      </c>
      <c r="G476" t="s">
        <v>886</v>
      </c>
    </row>
    <row r="477" spans="2:7" hidden="1" x14ac:dyDescent="0.35">
      <c r="B477" t="s">
        <v>166</v>
      </c>
      <c r="C477">
        <v>49</v>
      </c>
      <c r="D477">
        <v>-31</v>
      </c>
      <c r="E477">
        <v>2</v>
      </c>
      <c r="F477" t="s">
        <v>883</v>
      </c>
      <c r="G477" t="s">
        <v>886</v>
      </c>
    </row>
    <row r="478" spans="2:7" hidden="1" x14ac:dyDescent="0.35">
      <c r="B478" t="s">
        <v>288</v>
      </c>
      <c r="C478">
        <v>95</v>
      </c>
      <c r="D478">
        <v>5</v>
      </c>
      <c r="E478">
        <v>2</v>
      </c>
      <c r="F478" t="s">
        <v>883</v>
      </c>
      <c r="G478" t="s">
        <v>886</v>
      </c>
    </row>
    <row r="479" spans="2:7" hidden="1" x14ac:dyDescent="0.35">
      <c r="B479" t="s">
        <v>71</v>
      </c>
      <c r="C479">
        <v>185</v>
      </c>
      <c r="D479">
        <v>48</v>
      </c>
      <c r="E479">
        <v>4</v>
      </c>
      <c r="F479" t="s">
        <v>883</v>
      </c>
      <c r="G479" t="s">
        <v>886</v>
      </c>
    </row>
    <row r="480" spans="2:7" hidden="1" x14ac:dyDescent="0.35">
      <c r="B480" t="s">
        <v>591</v>
      </c>
      <c r="C480">
        <v>16</v>
      </c>
      <c r="D480">
        <v>6</v>
      </c>
      <c r="E480">
        <v>1</v>
      </c>
      <c r="F480" t="s">
        <v>883</v>
      </c>
      <c r="G480" t="s">
        <v>886</v>
      </c>
    </row>
    <row r="481" spans="2:7" hidden="1" x14ac:dyDescent="0.35">
      <c r="B481" t="s">
        <v>593</v>
      </c>
      <c r="C481">
        <v>59</v>
      </c>
      <c r="D481">
        <v>21</v>
      </c>
      <c r="E481">
        <v>2</v>
      </c>
      <c r="F481" t="s">
        <v>883</v>
      </c>
      <c r="G481" t="s">
        <v>886</v>
      </c>
    </row>
    <row r="482" spans="2:7" hidden="1" x14ac:dyDescent="0.35">
      <c r="B482" t="s">
        <v>597</v>
      </c>
      <c r="C482">
        <v>92</v>
      </c>
      <c r="D482">
        <v>42</v>
      </c>
      <c r="E482">
        <v>2</v>
      </c>
      <c r="F482" t="s">
        <v>883</v>
      </c>
      <c r="G482" t="s">
        <v>886</v>
      </c>
    </row>
    <row r="483" spans="2:7" hidden="1" x14ac:dyDescent="0.35">
      <c r="B483" t="s">
        <v>599</v>
      </c>
      <c r="C483">
        <v>35</v>
      </c>
      <c r="D483">
        <v>14</v>
      </c>
      <c r="E483">
        <v>2</v>
      </c>
      <c r="F483" t="s">
        <v>883</v>
      </c>
      <c r="G483" t="s">
        <v>886</v>
      </c>
    </row>
    <row r="484" spans="2:7" hidden="1" x14ac:dyDescent="0.35">
      <c r="B484" t="s">
        <v>600</v>
      </c>
      <c r="C484">
        <v>391</v>
      </c>
      <c r="D484">
        <v>113</v>
      </c>
      <c r="E484">
        <v>8</v>
      </c>
      <c r="F484" t="s">
        <v>883</v>
      </c>
      <c r="G484" t="s">
        <v>886</v>
      </c>
    </row>
    <row r="485" spans="2:7" hidden="1" x14ac:dyDescent="0.35">
      <c r="B485" t="s">
        <v>604</v>
      </c>
      <c r="C485">
        <v>60</v>
      </c>
      <c r="D485">
        <v>21</v>
      </c>
      <c r="E485">
        <v>4</v>
      </c>
      <c r="F485" t="s">
        <v>883</v>
      </c>
      <c r="G485" t="s">
        <v>886</v>
      </c>
    </row>
    <row r="486" spans="2:7" hidden="1" x14ac:dyDescent="0.35">
      <c r="B486" t="s">
        <v>83</v>
      </c>
      <c r="C486">
        <v>115</v>
      </c>
      <c r="D486">
        <v>25</v>
      </c>
      <c r="E486">
        <v>6</v>
      </c>
      <c r="F486" t="s">
        <v>883</v>
      </c>
      <c r="G486" t="s">
        <v>886</v>
      </c>
    </row>
    <row r="487" spans="2:7" hidden="1" x14ac:dyDescent="0.35">
      <c r="B487" t="s">
        <v>86</v>
      </c>
      <c r="C487">
        <v>45</v>
      </c>
      <c r="D487">
        <v>16</v>
      </c>
      <c r="E487">
        <v>3</v>
      </c>
      <c r="F487" t="s">
        <v>883</v>
      </c>
      <c r="G487" t="s">
        <v>886</v>
      </c>
    </row>
    <row r="488" spans="2:7" hidden="1" x14ac:dyDescent="0.35">
      <c r="B488" t="s">
        <v>614</v>
      </c>
      <c r="C488">
        <v>16</v>
      </c>
      <c r="D488">
        <v>5</v>
      </c>
      <c r="E488">
        <v>1</v>
      </c>
      <c r="F488" t="s">
        <v>883</v>
      </c>
      <c r="G488" t="s">
        <v>886</v>
      </c>
    </row>
    <row r="489" spans="2:7" hidden="1" x14ac:dyDescent="0.35">
      <c r="B489" t="s">
        <v>616</v>
      </c>
      <c r="C489">
        <v>155</v>
      </c>
      <c r="D489">
        <v>26</v>
      </c>
      <c r="E489">
        <v>3</v>
      </c>
      <c r="F489" t="s">
        <v>883</v>
      </c>
      <c r="G489" t="s">
        <v>886</v>
      </c>
    </row>
    <row r="490" spans="2:7" hidden="1" x14ac:dyDescent="0.35">
      <c r="B490" t="s">
        <v>303</v>
      </c>
      <c r="C490">
        <v>263</v>
      </c>
      <c r="D490">
        <v>50</v>
      </c>
      <c r="E490">
        <v>5</v>
      </c>
      <c r="F490" t="s">
        <v>883</v>
      </c>
      <c r="G490" t="s">
        <v>886</v>
      </c>
    </row>
    <row r="491" spans="2:7" hidden="1" x14ac:dyDescent="0.35">
      <c r="B491" t="s">
        <v>88</v>
      </c>
      <c r="C491">
        <v>161</v>
      </c>
      <c r="D491">
        <v>40</v>
      </c>
      <c r="E491">
        <v>3</v>
      </c>
      <c r="F491" t="s">
        <v>883</v>
      </c>
      <c r="G491" t="s">
        <v>886</v>
      </c>
    </row>
    <row r="492" spans="2:7" hidden="1" x14ac:dyDescent="0.35">
      <c r="B492" t="s">
        <v>307</v>
      </c>
      <c r="C492">
        <v>45</v>
      </c>
      <c r="D492">
        <v>0</v>
      </c>
      <c r="E492">
        <v>2</v>
      </c>
      <c r="F492" t="s">
        <v>883</v>
      </c>
      <c r="G492" t="s">
        <v>886</v>
      </c>
    </row>
    <row r="493" spans="2:7" hidden="1" x14ac:dyDescent="0.35">
      <c r="B493" t="s">
        <v>622</v>
      </c>
      <c r="C493">
        <v>132</v>
      </c>
      <c r="D493">
        <v>54</v>
      </c>
      <c r="E493">
        <v>5</v>
      </c>
      <c r="F493" t="s">
        <v>883</v>
      </c>
      <c r="G493" t="s">
        <v>886</v>
      </c>
    </row>
    <row r="494" spans="2:7" hidden="1" x14ac:dyDescent="0.35">
      <c r="B494" t="s">
        <v>631</v>
      </c>
      <c r="C494">
        <v>148</v>
      </c>
      <c r="D494">
        <v>24</v>
      </c>
      <c r="E494">
        <v>3</v>
      </c>
      <c r="F494" t="s">
        <v>883</v>
      </c>
      <c r="G494" t="s">
        <v>886</v>
      </c>
    </row>
    <row r="495" spans="2:7" hidden="1" x14ac:dyDescent="0.35">
      <c r="B495" t="s">
        <v>634</v>
      </c>
      <c r="C495">
        <v>97</v>
      </c>
      <c r="D495">
        <v>17</v>
      </c>
      <c r="E495">
        <v>2</v>
      </c>
      <c r="F495" t="s">
        <v>883</v>
      </c>
      <c r="G495" t="s">
        <v>886</v>
      </c>
    </row>
    <row r="496" spans="2:7" hidden="1" x14ac:dyDescent="0.35">
      <c r="B496" t="s">
        <v>634</v>
      </c>
      <c r="C496">
        <v>50</v>
      </c>
      <c r="D496">
        <v>16</v>
      </c>
      <c r="E496">
        <v>1</v>
      </c>
      <c r="F496" t="s">
        <v>883</v>
      </c>
      <c r="G496" t="s">
        <v>886</v>
      </c>
    </row>
    <row r="497" spans="2:7" hidden="1" x14ac:dyDescent="0.35">
      <c r="B497" t="s">
        <v>636</v>
      </c>
      <c r="C497">
        <v>199</v>
      </c>
      <c r="D497">
        <v>48</v>
      </c>
      <c r="E497">
        <v>4</v>
      </c>
      <c r="F497" t="s">
        <v>883</v>
      </c>
      <c r="G497" t="s">
        <v>886</v>
      </c>
    </row>
    <row r="498" spans="2:7" hidden="1" x14ac:dyDescent="0.35">
      <c r="B498" t="s">
        <v>213</v>
      </c>
      <c r="C498">
        <v>149</v>
      </c>
      <c r="D498">
        <v>48</v>
      </c>
      <c r="E498">
        <v>6</v>
      </c>
      <c r="F498" t="s">
        <v>883</v>
      </c>
      <c r="G498" t="s">
        <v>886</v>
      </c>
    </row>
    <row r="499" spans="2:7" hidden="1" x14ac:dyDescent="0.35">
      <c r="B499" t="s">
        <v>213</v>
      </c>
      <c r="C499">
        <v>88</v>
      </c>
      <c r="D499">
        <v>16</v>
      </c>
      <c r="E499">
        <v>4</v>
      </c>
      <c r="F499" t="s">
        <v>883</v>
      </c>
      <c r="G499" t="s">
        <v>886</v>
      </c>
    </row>
    <row r="500" spans="2:7" hidden="1" x14ac:dyDescent="0.35">
      <c r="B500" t="s">
        <v>309</v>
      </c>
      <c r="C500">
        <v>74</v>
      </c>
      <c r="D500">
        <v>29</v>
      </c>
      <c r="E500">
        <v>3</v>
      </c>
      <c r="F500" t="s">
        <v>883</v>
      </c>
      <c r="G500" t="s">
        <v>886</v>
      </c>
    </row>
    <row r="501" spans="2:7" hidden="1" x14ac:dyDescent="0.35">
      <c r="B501" t="s">
        <v>639</v>
      </c>
      <c r="C501">
        <v>50</v>
      </c>
      <c r="D501">
        <v>3</v>
      </c>
      <c r="E501">
        <v>2</v>
      </c>
      <c r="F501" t="s">
        <v>883</v>
      </c>
      <c r="G501" t="s">
        <v>886</v>
      </c>
    </row>
    <row r="502" spans="2:7" hidden="1" x14ac:dyDescent="0.35">
      <c r="B502" t="s">
        <v>641</v>
      </c>
      <c r="C502">
        <v>121</v>
      </c>
      <c r="D502">
        <v>41</v>
      </c>
      <c r="E502">
        <v>4</v>
      </c>
      <c r="F502" t="s">
        <v>883</v>
      </c>
      <c r="G502" t="s">
        <v>886</v>
      </c>
    </row>
    <row r="503" spans="2:7" hidden="1" x14ac:dyDescent="0.35">
      <c r="B503" t="s">
        <v>641</v>
      </c>
      <c r="C503">
        <v>80</v>
      </c>
      <c r="D503">
        <v>3</v>
      </c>
      <c r="E503">
        <v>3</v>
      </c>
      <c r="F503" t="s">
        <v>883</v>
      </c>
      <c r="G503" t="s">
        <v>886</v>
      </c>
    </row>
    <row r="504" spans="2:7" hidden="1" x14ac:dyDescent="0.35">
      <c r="B504" t="s">
        <v>643</v>
      </c>
      <c r="C504">
        <v>189</v>
      </c>
      <c r="D504">
        <v>87</v>
      </c>
      <c r="E504">
        <v>7</v>
      </c>
      <c r="F504" t="s">
        <v>883</v>
      </c>
      <c r="G504" t="s">
        <v>886</v>
      </c>
    </row>
    <row r="505" spans="2:7" hidden="1" x14ac:dyDescent="0.35">
      <c r="B505" t="s">
        <v>311</v>
      </c>
      <c r="C505">
        <v>100</v>
      </c>
      <c r="D505">
        <v>6</v>
      </c>
      <c r="E505">
        <v>4</v>
      </c>
      <c r="F505" t="s">
        <v>883</v>
      </c>
      <c r="G505" t="s">
        <v>886</v>
      </c>
    </row>
    <row r="506" spans="2:7" hidden="1" x14ac:dyDescent="0.35">
      <c r="B506" t="s">
        <v>645</v>
      </c>
      <c r="C506">
        <v>51</v>
      </c>
      <c r="D506">
        <v>14</v>
      </c>
      <c r="E506">
        <v>2</v>
      </c>
      <c r="F506" t="s">
        <v>883</v>
      </c>
      <c r="G506" t="s">
        <v>886</v>
      </c>
    </row>
    <row r="507" spans="2:7" hidden="1" x14ac:dyDescent="0.35">
      <c r="B507" t="s">
        <v>647</v>
      </c>
      <c r="C507">
        <v>31</v>
      </c>
      <c r="D507">
        <v>14</v>
      </c>
      <c r="E507">
        <v>3</v>
      </c>
      <c r="F507" t="s">
        <v>883</v>
      </c>
      <c r="G507" t="s">
        <v>886</v>
      </c>
    </row>
    <row r="508" spans="2:7" hidden="1" x14ac:dyDescent="0.35">
      <c r="B508" t="s">
        <v>99</v>
      </c>
      <c r="C508">
        <v>66</v>
      </c>
      <c r="D508">
        <v>12</v>
      </c>
      <c r="E508">
        <v>3</v>
      </c>
      <c r="F508" t="s">
        <v>883</v>
      </c>
      <c r="G508" t="s">
        <v>886</v>
      </c>
    </row>
    <row r="509" spans="2:7" hidden="1" x14ac:dyDescent="0.35">
      <c r="B509" t="s">
        <v>315</v>
      </c>
      <c r="C509">
        <v>140</v>
      </c>
      <c r="D509">
        <v>15</v>
      </c>
      <c r="E509">
        <v>5</v>
      </c>
      <c r="F509" t="s">
        <v>883</v>
      </c>
      <c r="G509" t="s">
        <v>886</v>
      </c>
    </row>
    <row r="510" spans="2:7" hidden="1" x14ac:dyDescent="0.35">
      <c r="B510" t="s">
        <v>666</v>
      </c>
      <c r="C510">
        <v>108</v>
      </c>
      <c r="D510">
        <v>37</v>
      </c>
      <c r="E510">
        <v>2</v>
      </c>
      <c r="F510" t="s">
        <v>883</v>
      </c>
      <c r="G510" t="s">
        <v>886</v>
      </c>
    </row>
    <row r="511" spans="2:7" hidden="1" x14ac:dyDescent="0.35">
      <c r="B511" t="s">
        <v>669</v>
      </c>
      <c r="C511">
        <v>121</v>
      </c>
      <c r="D511">
        <v>19</v>
      </c>
      <c r="E511">
        <v>4</v>
      </c>
      <c r="F511" t="s">
        <v>883</v>
      </c>
      <c r="G511" t="s">
        <v>886</v>
      </c>
    </row>
    <row r="512" spans="2:7" hidden="1" x14ac:dyDescent="0.35">
      <c r="B512" t="s">
        <v>102</v>
      </c>
      <c r="C512">
        <v>349</v>
      </c>
      <c r="D512">
        <v>0</v>
      </c>
      <c r="E512">
        <v>7</v>
      </c>
      <c r="F512" t="s">
        <v>883</v>
      </c>
      <c r="G512" t="s">
        <v>886</v>
      </c>
    </row>
    <row r="513" spans="2:7" hidden="1" x14ac:dyDescent="0.35">
      <c r="B513" t="s">
        <v>673</v>
      </c>
      <c r="C513">
        <v>89</v>
      </c>
      <c r="D513">
        <v>17</v>
      </c>
      <c r="E513">
        <v>2</v>
      </c>
      <c r="F513" t="s">
        <v>883</v>
      </c>
      <c r="G513" t="s">
        <v>886</v>
      </c>
    </row>
    <row r="514" spans="2:7" hidden="1" x14ac:dyDescent="0.35">
      <c r="B514" t="s">
        <v>104</v>
      </c>
      <c r="C514">
        <v>121</v>
      </c>
      <c r="D514">
        <v>41</v>
      </c>
      <c r="E514">
        <v>4</v>
      </c>
      <c r="F514" t="s">
        <v>883</v>
      </c>
      <c r="G514" t="s">
        <v>886</v>
      </c>
    </row>
    <row r="515" spans="2:7" hidden="1" x14ac:dyDescent="0.35">
      <c r="B515" t="s">
        <v>680</v>
      </c>
      <c r="C515">
        <v>355</v>
      </c>
      <c r="D515">
        <v>114</v>
      </c>
      <c r="E515">
        <v>7</v>
      </c>
      <c r="F515" t="s">
        <v>883</v>
      </c>
      <c r="G515" t="s">
        <v>886</v>
      </c>
    </row>
    <row r="516" spans="2:7" hidden="1" x14ac:dyDescent="0.35">
      <c r="B516" t="s">
        <v>680</v>
      </c>
      <c r="C516">
        <v>83</v>
      </c>
      <c r="D516">
        <v>12</v>
      </c>
      <c r="E516">
        <v>3</v>
      </c>
      <c r="F516" t="s">
        <v>883</v>
      </c>
      <c r="G516" t="s">
        <v>886</v>
      </c>
    </row>
    <row r="517" spans="2:7" hidden="1" x14ac:dyDescent="0.35">
      <c r="B517" t="s">
        <v>106</v>
      </c>
      <c r="C517">
        <v>43</v>
      </c>
      <c r="D517">
        <v>5</v>
      </c>
      <c r="E517">
        <v>3</v>
      </c>
      <c r="F517" t="s">
        <v>883</v>
      </c>
      <c r="G517" t="s">
        <v>886</v>
      </c>
    </row>
    <row r="518" spans="2:7" hidden="1" x14ac:dyDescent="0.35">
      <c r="B518" t="s">
        <v>686</v>
      </c>
      <c r="C518">
        <v>147</v>
      </c>
      <c r="D518">
        <v>73</v>
      </c>
      <c r="E518">
        <v>3</v>
      </c>
      <c r="F518" t="s">
        <v>883</v>
      </c>
      <c r="G518" t="s">
        <v>886</v>
      </c>
    </row>
    <row r="519" spans="2:7" hidden="1" x14ac:dyDescent="0.35">
      <c r="B519" t="s">
        <v>172</v>
      </c>
      <c r="C519">
        <v>152</v>
      </c>
      <c r="D519">
        <v>50</v>
      </c>
      <c r="E519">
        <v>6</v>
      </c>
      <c r="F519" t="s">
        <v>883</v>
      </c>
      <c r="G519" t="s">
        <v>886</v>
      </c>
    </row>
    <row r="520" spans="2:7" hidden="1" x14ac:dyDescent="0.35">
      <c r="B520" t="s">
        <v>693</v>
      </c>
      <c r="C520">
        <v>78</v>
      </c>
      <c r="D520">
        <v>27</v>
      </c>
      <c r="E520">
        <v>3</v>
      </c>
      <c r="F520" t="s">
        <v>883</v>
      </c>
      <c r="G520" t="s">
        <v>886</v>
      </c>
    </row>
    <row r="521" spans="2:7" hidden="1" x14ac:dyDescent="0.35">
      <c r="B521" t="s">
        <v>181</v>
      </c>
      <c r="C521">
        <v>103</v>
      </c>
      <c r="D521">
        <v>21</v>
      </c>
      <c r="E521">
        <v>7</v>
      </c>
      <c r="F521" t="s">
        <v>883</v>
      </c>
      <c r="G521" t="s">
        <v>886</v>
      </c>
    </row>
    <row r="522" spans="2:7" hidden="1" x14ac:dyDescent="0.35">
      <c r="B522" t="s">
        <v>701</v>
      </c>
      <c r="C522">
        <v>125</v>
      </c>
      <c r="D522">
        <v>22</v>
      </c>
      <c r="E522">
        <v>3</v>
      </c>
      <c r="F522" t="s">
        <v>883</v>
      </c>
      <c r="G522" t="s">
        <v>886</v>
      </c>
    </row>
    <row r="523" spans="2:7" hidden="1" x14ac:dyDescent="0.35">
      <c r="B523" t="s">
        <v>707</v>
      </c>
      <c r="C523">
        <v>110</v>
      </c>
      <c r="D523">
        <v>12</v>
      </c>
      <c r="E523">
        <v>7</v>
      </c>
      <c r="F523" t="s">
        <v>883</v>
      </c>
      <c r="G523" t="s">
        <v>886</v>
      </c>
    </row>
    <row r="524" spans="2:7" hidden="1" x14ac:dyDescent="0.35">
      <c r="B524" t="s">
        <v>713</v>
      </c>
      <c r="C524">
        <v>52</v>
      </c>
      <c r="D524">
        <v>18</v>
      </c>
      <c r="E524">
        <v>2</v>
      </c>
      <c r="F524" t="s">
        <v>883</v>
      </c>
      <c r="G524" t="s">
        <v>886</v>
      </c>
    </row>
    <row r="525" spans="2:7" hidden="1" x14ac:dyDescent="0.35">
      <c r="B525" t="s">
        <v>329</v>
      </c>
      <c r="C525">
        <v>27</v>
      </c>
      <c r="D525">
        <v>12</v>
      </c>
      <c r="E525">
        <v>1</v>
      </c>
      <c r="F525" t="s">
        <v>883</v>
      </c>
      <c r="G525" t="s">
        <v>886</v>
      </c>
    </row>
    <row r="526" spans="2:7" hidden="1" x14ac:dyDescent="0.35">
      <c r="B526" t="s">
        <v>332</v>
      </c>
      <c r="C526">
        <v>81</v>
      </c>
      <c r="D526">
        <v>-44</v>
      </c>
      <c r="E526">
        <v>3</v>
      </c>
      <c r="F526" t="s">
        <v>883</v>
      </c>
      <c r="G526" t="s">
        <v>886</v>
      </c>
    </row>
    <row r="527" spans="2:7" hidden="1" x14ac:dyDescent="0.35">
      <c r="B527" t="s">
        <v>729</v>
      </c>
      <c r="C527">
        <v>59</v>
      </c>
      <c r="D527">
        <v>25</v>
      </c>
      <c r="E527">
        <v>3</v>
      </c>
      <c r="F527" t="s">
        <v>883</v>
      </c>
      <c r="G527" t="s">
        <v>886</v>
      </c>
    </row>
    <row r="528" spans="2:7" hidden="1" x14ac:dyDescent="0.35">
      <c r="B528" t="s">
        <v>732</v>
      </c>
      <c r="C528">
        <v>55</v>
      </c>
      <c r="D528">
        <v>4</v>
      </c>
      <c r="E528">
        <v>2</v>
      </c>
      <c r="F528" t="s">
        <v>883</v>
      </c>
      <c r="G528" t="s">
        <v>886</v>
      </c>
    </row>
    <row r="529" spans="2:7" hidden="1" x14ac:dyDescent="0.35">
      <c r="B529" t="s">
        <v>737</v>
      </c>
      <c r="C529">
        <v>48</v>
      </c>
      <c r="D529">
        <v>20</v>
      </c>
      <c r="E529">
        <v>4</v>
      </c>
      <c r="F529" t="s">
        <v>883</v>
      </c>
      <c r="G529" t="s">
        <v>886</v>
      </c>
    </row>
    <row r="530" spans="2:7" hidden="1" x14ac:dyDescent="0.35">
      <c r="B530" t="s">
        <v>120</v>
      </c>
      <c r="C530">
        <v>54</v>
      </c>
      <c r="D530">
        <v>27</v>
      </c>
      <c r="E530">
        <v>2</v>
      </c>
      <c r="F530" t="s">
        <v>883</v>
      </c>
      <c r="G530" t="s">
        <v>886</v>
      </c>
    </row>
    <row r="531" spans="2:7" hidden="1" x14ac:dyDescent="0.35">
      <c r="B531" t="s">
        <v>120</v>
      </c>
      <c r="C531">
        <v>133</v>
      </c>
      <c r="D531">
        <v>5</v>
      </c>
      <c r="E531">
        <v>5</v>
      </c>
      <c r="F531" t="s">
        <v>883</v>
      </c>
      <c r="G531" t="s">
        <v>886</v>
      </c>
    </row>
    <row r="532" spans="2:7" hidden="1" x14ac:dyDescent="0.35">
      <c r="B532" t="s">
        <v>742</v>
      </c>
      <c r="C532">
        <v>102</v>
      </c>
      <c r="D532">
        <v>13</v>
      </c>
      <c r="E532">
        <v>2</v>
      </c>
      <c r="F532" t="s">
        <v>883</v>
      </c>
      <c r="G532" t="s">
        <v>886</v>
      </c>
    </row>
    <row r="533" spans="2:7" hidden="1" x14ac:dyDescent="0.35">
      <c r="B533" t="s">
        <v>742</v>
      </c>
      <c r="C533">
        <v>120</v>
      </c>
      <c r="D533">
        <v>23</v>
      </c>
      <c r="E533">
        <v>5</v>
      </c>
      <c r="F533" t="s">
        <v>883</v>
      </c>
      <c r="G533" t="s">
        <v>886</v>
      </c>
    </row>
    <row r="534" spans="2:7" hidden="1" x14ac:dyDescent="0.35">
      <c r="B534" t="s">
        <v>742</v>
      </c>
      <c r="C534">
        <v>89</v>
      </c>
      <c r="D534">
        <v>29</v>
      </c>
      <c r="E534">
        <v>2</v>
      </c>
      <c r="F534" t="s">
        <v>883</v>
      </c>
      <c r="G534" t="s">
        <v>886</v>
      </c>
    </row>
    <row r="535" spans="2:7" hidden="1" x14ac:dyDescent="0.35">
      <c r="B535" t="s">
        <v>744</v>
      </c>
      <c r="C535">
        <v>81</v>
      </c>
      <c r="D535">
        <v>41</v>
      </c>
      <c r="E535">
        <v>3</v>
      </c>
      <c r="F535" t="s">
        <v>883</v>
      </c>
      <c r="G535" t="s">
        <v>886</v>
      </c>
    </row>
    <row r="536" spans="2:7" hidden="1" x14ac:dyDescent="0.35">
      <c r="B536" t="s">
        <v>744</v>
      </c>
      <c r="C536">
        <v>87</v>
      </c>
      <c r="D536">
        <v>36</v>
      </c>
      <c r="E536">
        <v>5</v>
      </c>
      <c r="F536" t="s">
        <v>883</v>
      </c>
      <c r="G536" t="s">
        <v>886</v>
      </c>
    </row>
    <row r="537" spans="2:7" hidden="1" x14ac:dyDescent="0.35">
      <c r="B537" t="s">
        <v>745</v>
      </c>
      <c r="C537">
        <v>44</v>
      </c>
      <c r="D537">
        <v>10</v>
      </c>
      <c r="E537">
        <v>3</v>
      </c>
      <c r="F537" t="s">
        <v>883</v>
      </c>
      <c r="G537" t="s">
        <v>886</v>
      </c>
    </row>
    <row r="538" spans="2:7" hidden="1" x14ac:dyDescent="0.35">
      <c r="B538" t="s">
        <v>218</v>
      </c>
      <c r="C538">
        <v>110</v>
      </c>
      <c r="D538">
        <v>20</v>
      </c>
      <c r="E538">
        <v>5</v>
      </c>
      <c r="F538" t="s">
        <v>883</v>
      </c>
      <c r="G538" t="s">
        <v>886</v>
      </c>
    </row>
    <row r="539" spans="2:7" hidden="1" x14ac:dyDescent="0.35">
      <c r="B539" t="s">
        <v>124</v>
      </c>
      <c r="C539">
        <v>147</v>
      </c>
      <c r="D539">
        <v>73</v>
      </c>
      <c r="E539">
        <v>3</v>
      </c>
      <c r="F539" t="s">
        <v>883</v>
      </c>
      <c r="G539" t="s">
        <v>886</v>
      </c>
    </row>
    <row r="540" spans="2:7" hidden="1" x14ac:dyDescent="0.35">
      <c r="B540" t="s">
        <v>128</v>
      </c>
      <c r="C540">
        <v>199</v>
      </c>
      <c r="D540">
        <v>0</v>
      </c>
      <c r="E540">
        <v>4</v>
      </c>
      <c r="F540" t="s">
        <v>883</v>
      </c>
      <c r="G540" t="s">
        <v>886</v>
      </c>
    </row>
    <row r="541" spans="2:7" hidden="1" x14ac:dyDescent="0.35">
      <c r="B541" t="s">
        <v>339</v>
      </c>
      <c r="C541">
        <v>111</v>
      </c>
      <c r="D541">
        <v>9</v>
      </c>
      <c r="E541">
        <v>4</v>
      </c>
      <c r="F541" t="s">
        <v>883</v>
      </c>
      <c r="G541" t="s">
        <v>886</v>
      </c>
    </row>
    <row r="542" spans="2:7" hidden="1" x14ac:dyDescent="0.35">
      <c r="B542" t="s">
        <v>761</v>
      </c>
      <c r="C542">
        <v>571</v>
      </c>
      <c r="D542">
        <v>108</v>
      </c>
      <c r="E542">
        <v>12</v>
      </c>
      <c r="F542" t="s">
        <v>883</v>
      </c>
      <c r="G542" t="s">
        <v>886</v>
      </c>
    </row>
    <row r="543" spans="2:7" hidden="1" x14ac:dyDescent="0.35">
      <c r="B543" t="s">
        <v>768</v>
      </c>
      <c r="C543">
        <v>27</v>
      </c>
      <c r="D543">
        <v>1</v>
      </c>
      <c r="E543">
        <v>1</v>
      </c>
      <c r="F543" t="s">
        <v>883</v>
      </c>
      <c r="G543" t="s">
        <v>886</v>
      </c>
    </row>
    <row r="544" spans="2:7" hidden="1" x14ac:dyDescent="0.35">
      <c r="B544" t="s">
        <v>768</v>
      </c>
      <c r="C544">
        <v>74</v>
      </c>
      <c r="D544">
        <v>29</v>
      </c>
      <c r="E544">
        <v>3</v>
      </c>
      <c r="F544" t="s">
        <v>883</v>
      </c>
      <c r="G544" t="s">
        <v>886</v>
      </c>
    </row>
    <row r="545" spans="2:7" hidden="1" x14ac:dyDescent="0.35">
      <c r="B545" t="s">
        <v>341</v>
      </c>
      <c r="C545">
        <v>341</v>
      </c>
      <c r="D545">
        <v>160</v>
      </c>
      <c r="E545">
        <v>7</v>
      </c>
      <c r="F545" t="s">
        <v>883</v>
      </c>
      <c r="G545" t="s">
        <v>886</v>
      </c>
    </row>
    <row r="546" spans="2:7" hidden="1" x14ac:dyDescent="0.35">
      <c r="B546" t="s">
        <v>770</v>
      </c>
      <c r="C546">
        <v>48</v>
      </c>
      <c r="D546">
        <v>2</v>
      </c>
      <c r="E546">
        <v>3</v>
      </c>
      <c r="F546" t="s">
        <v>883</v>
      </c>
      <c r="G546" t="s">
        <v>886</v>
      </c>
    </row>
    <row r="547" spans="2:7" hidden="1" x14ac:dyDescent="0.35">
      <c r="B547" t="s">
        <v>776</v>
      </c>
      <c r="C547">
        <v>304</v>
      </c>
      <c r="D547">
        <v>97</v>
      </c>
      <c r="E547">
        <v>6</v>
      </c>
      <c r="F547" t="s">
        <v>883</v>
      </c>
      <c r="G547" t="s">
        <v>886</v>
      </c>
    </row>
    <row r="548" spans="2:7" hidden="1" x14ac:dyDescent="0.35">
      <c r="B548" t="s">
        <v>133</v>
      </c>
      <c r="C548">
        <v>44</v>
      </c>
      <c r="D548">
        <v>11</v>
      </c>
      <c r="E548">
        <v>4</v>
      </c>
      <c r="F548" t="s">
        <v>883</v>
      </c>
      <c r="G548" t="s">
        <v>886</v>
      </c>
    </row>
    <row r="549" spans="2:7" hidden="1" x14ac:dyDescent="0.35">
      <c r="B549" t="s">
        <v>778</v>
      </c>
      <c r="C549">
        <v>299</v>
      </c>
      <c r="D549">
        <v>0</v>
      </c>
      <c r="E549">
        <v>6</v>
      </c>
      <c r="F549" t="s">
        <v>883</v>
      </c>
      <c r="G549" t="s">
        <v>886</v>
      </c>
    </row>
    <row r="550" spans="2:7" hidden="1" x14ac:dyDescent="0.35">
      <c r="B550" t="s">
        <v>782</v>
      </c>
      <c r="C550">
        <v>10</v>
      </c>
      <c r="D550">
        <v>5</v>
      </c>
      <c r="E550">
        <v>1</v>
      </c>
      <c r="F550" t="s">
        <v>883</v>
      </c>
      <c r="G550" t="s">
        <v>886</v>
      </c>
    </row>
    <row r="551" spans="2:7" hidden="1" x14ac:dyDescent="0.35">
      <c r="B551" t="s">
        <v>786</v>
      </c>
      <c r="C551">
        <v>44</v>
      </c>
      <c r="D551">
        <v>8</v>
      </c>
      <c r="E551">
        <v>2</v>
      </c>
      <c r="F551" t="s">
        <v>883</v>
      </c>
      <c r="G551" t="s">
        <v>886</v>
      </c>
    </row>
    <row r="552" spans="2:7" hidden="1" x14ac:dyDescent="0.35">
      <c r="B552" t="s">
        <v>792</v>
      </c>
      <c r="C552">
        <v>47</v>
      </c>
      <c r="D552">
        <v>1</v>
      </c>
      <c r="E552">
        <v>2</v>
      </c>
      <c r="F552" t="s">
        <v>883</v>
      </c>
      <c r="G552" t="s">
        <v>886</v>
      </c>
    </row>
    <row r="553" spans="2:7" hidden="1" x14ac:dyDescent="0.35">
      <c r="B553" t="s">
        <v>796</v>
      </c>
      <c r="C553">
        <v>26</v>
      </c>
      <c r="D553">
        <v>-17</v>
      </c>
      <c r="E553">
        <v>1</v>
      </c>
      <c r="F553" t="s">
        <v>883</v>
      </c>
      <c r="G553" t="s">
        <v>886</v>
      </c>
    </row>
    <row r="554" spans="2:7" hidden="1" x14ac:dyDescent="0.35">
      <c r="B554" t="s">
        <v>796</v>
      </c>
      <c r="C554">
        <v>93</v>
      </c>
      <c r="D554">
        <v>-65</v>
      </c>
      <c r="E554">
        <v>4</v>
      </c>
      <c r="F554" t="s">
        <v>883</v>
      </c>
      <c r="G554" t="s">
        <v>886</v>
      </c>
    </row>
    <row r="555" spans="2:7" hidden="1" x14ac:dyDescent="0.35">
      <c r="B555" t="s">
        <v>796</v>
      </c>
      <c r="C555">
        <v>352</v>
      </c>
      <c r="D555">
        <v>74</v>
      </c>
      <c r="E555">
        <v>8</v>
      </c>
      <c r="F555" t="s">
        <v>883</v>
      </c>
      <c r="G555" t="s">
        <v>886</v>
      </c>
    </row>
    <row r="556" spans="2:7" hidden="1" x14ac:dyDescent="0.35">
      <c r="B556" t="s">
        <v>801</v>
      </c>
      <c r="C556">
        <v>80</v>
      </c>
      <c r="D556">
        <v>22</v>
      </c>
      <c r="E556">
        <v>3</v>
      </c>
      <c r="F556" t="s">
        <v>883</v>
      </c>
      <c r="G556" t="s">
        <v>886</v>
      </c>
    </row>
    <row r="557" spans="2:7" hidden="1" x14ac:dyDescent="0.35">
      <c r="B557" t="s">
        <v>804</v>
      </c>
      <c r="C557">
        <v>87</v>
      </c>
      <c r="D557">
        <v>10</v>
      </c>
      <c r="E557">
        <v>3</v>
      </c>
      <c r="F557" t="s">
        <v>883</v>
      </c>
      <c r="G557" t="s">
        <v>886</v>
      </c>
    </row>
    <row r="558" spans="2:7" hidden="1" x14ac:dyDescent="0.35">
      <c r="B558" t="s">
        <v>809</v>
      </c>
      <c r="C558">
        <v>22</v>
      </c>
      <c r="D558">
        <v>4</v>
      </c>
      <c r="E558">
        <v>1</v>
      </c>
      <c r="F558" t="s">
        <v>883</v>
      </c>
      <c r="G558" t="s">
        <v>886</v>
      </c>
    </row>
    <row r="559" spans="2:7" hidden="1" x14ac:dyDescent="0.35">
      <c r="B559" t="s">
        <v>812</v>
      </c>
      <c r="C559">
        <v>29</v>
      </c>
      <c r="D559">
        <v>3</v>
      </c>
      <c r="E559">
        <v>2</v>
      </c>
      <c r="F559" t="s">
        <v>883</v>
      </c>
      <c r="G559" t="s">
        <v>886</v>
      </c>
    </row>
    <row r="560" spans="2:7" hidden="1" x14ac:dyDescent="0.35">
      <c r="B560" t="s">
        <v>814</v>
      </c>
      <c r="C560">
        <v>93</v>
      </c>
      <c r="D560">
        <v>44</v>
      </c>
      <c r="E560">
        <v>2</v>
      </c>
      <c r="F560" t="s">
        <v>883</v>
      </c>
      <c r="G560" t="s">
        <v>886</v>
      </c>
    </row>
    <row r="561" spans="2:7" hidden="1" x14ac:dyDescent="0.35">
      <c r="B561" t="s">
        <v>822</v>
      </c>
      <c r="C561">
        <v>49</v>
      </c>
      <c r="D561">
        <v>21</v>
      </c>
      <c r="E561">
        <v>1</v>
      </c>
      <c r="F561" t="s">
        <v>883</v>
      </c>
      <c r="G561" t="s">
        <v>886</v>
      </c>
    </row>
    <row r="562" spans="2:7" hidden="1" x14ac:dyDescent="0.35">
      <c r="B562" t="s">
        <v>824</v>
      </c>
      <c r="C562">
        <v>66</v>
      </c>
      <c r="D562">
        <v>22</v>
      </c>
      <c r="E562">
        <v>3</v>
      </c>
      <c r="F562" t="s">
        <v>883</v>
      </c>
      <c r="G562" t="s">
        <v>886</v>
      </c>
    </row>
    <row r="563" spans="2:7" hidden="1" x14ac:dyDescent="0.35">
      <c r="B563" t="s">
        <v>824</v>
      </c>
      <c r="C563">
        <v>59</v>
      </c>
      <c r="D563">
        <v>21</v>
      </c>
      <c r="E563">
        <v>2</v>
      </c>
      <c r="F563" t="s">
        <v>883</v>
      </c>
      <c r="G563" t="s">
        <v>886</v>
      </c>
    </row>
    <row r="564" spans="2:7" hidden="1" x14ac:dyDescent="0.35">
      <c r="B564" t="s">
        <v>825</v>
      </c>
      <c r="C564">
        <v>168</v>
      </c>
      <c r="D564">
        <v>18</v>
      </c>
      <c r="E564">
        <v>6</v>
      </c>
      <c r="F564" t="s">
        <v>883</v>
      </c>
      <c r="G564" t="s">
        <v>886</v>
      </c>
    </row>
    <row r="565" spans="2:7" hidden="1" x14ac:dyDescent="0.35">
      <c r="B565" t="s">
        <v>826</v>
      </c>
      <c r="C565">
        <v>155</v>
      </c>
      <c r="D565">
        <v>5</v>
      </c>
      <c r="E565">
        <v>3</v>
      </c>
      <c r="F565" t="s">
        <v>883</v>
      </c>
      <c r="G565" t="s">
        <v>886</v>
      </c>
    </row>
    <row r="566" spans="2:7" hidden="1" x14ac:dyDescent="0.35">
      <c r="B566" t="s">
        <v>826</v>
      </c>
      <c r="C566">
        <v>32</v>
      </c>
      <c r="D566">
        <v>1</v>
      </c>
      <c r="E566">
        <v>2</v>
      </c>
      <c r="F566" t="s">
        <v>883</v>
      </c>
      <c r="G566" t="s">
        <v>886</v>
      </c>
    </row>
    <row r="567" spans="2:7" hidden="1" x14ac:dyDescent="0.35">
      <c r="B567" t="s">
        <v>223</v>
      </c>
      <c r="C567">
        <v>50</v>
      </c>
      <c r="D567">
        <v>25</v>
      </c>
      <c r="E567">
        <v>5</v>
      </c>
      <c r="F567" t="s">
        <v>883</v>
      </c>
      <c r="G567" t="s">
        <v>886</v>
      </c>
    </row>
    <row r="568" spans="2:7" hidden="1" x14ac:dyDescent="0.35">
      <c r="B568" t="s">
        <v>139</v>
      </c>
      <c r="C568">
        <v>171</v>
      </c>
      <c r="D568">
        <v>68</v>
      </c>
      <c r="E568">
        <v>7</v>
      </c>
      <c r="F568" t="s">
        <v>883</v>
      </c>
      <c r="G568" t="s">
        <v>886</v>
      </c>
    </row>
    <row r="569" spans="2:7" hidden="1" x14ac:dyDescent="0.35">
      <c r="B569" t="s">
        <v>835</v>
      </c>
      <c r="C569">
        <v>52</v>
      </c>
      <c r="D569">
        <v>14</v>
      </c>
      <c r="E569">
        <v>2</v>
      </c>
      <c r="F569" t="s">
        <v>883</v>
      </c>
      <c r="G569" t="s">
        <v>886</v>
      </c>
    </row>
    <row r="570" spans="2:7" hidden="1" x14ac:dyDescent="0.35">
      <c r="B570" t="s">
        <v>837</v>
      </c>
      <c r="C570">
        <v>38</v>
      </c>
      <c r="D570">
        <v>9</v>
      </c>
      <c r="E570">
        <v>2</v>
      </c>
      <c r="F570" t="s">
        <v>883</v>
      </c>
      <c r="G570" t="s">
        <v>886</v>
      </c>
    </row>
    <row r="571" spans="2:7" hidden="1" x14ac:dyDescent="0.35">
      <c r="B571" t="s">
        <v>839</v>
      </c>
      <c r="C571">
        <v>36</v>
      </c>
      <c r="D571">
        <v>15</v>
      </c>
      <c r="E571">
        <v>3</v>
      </c>
      <c r="F571" t="s">
        <v>883</v>
      </c>
      <c r="G571" t="s">
        <v>886</v>
      </c>
    </row>
    <row r="572" spans="2:7" hidden="1" x14ac:dyDescent="0.35">
      <c r="B572" t="s">
        <v>840</v>
      </c>
      <c r="C572">
        <v>185</v>
      </c>
      <c r="D572">
        <v>48</v>
      </c>
      <c r="E572">
        <v>4</v>
      </c>
      <c r="F572" t="s">
        <v>883</v>
      </c>
      <c r="G572" t="s">
        <v>886</v>
      </c>
    </row>
    <row r="573" spans="2:7" hidden="1" x14ac:dyDescent="0.35">
      <c r="B573" t="s">
        <v>840</v>
      </c>
      <c r="C573">
        <v>122</v>
      </c>
      <c r="D573">
        <v>50</v>
      </c>
      <c r="E573">
        <v>7</v>
      </c>
      <c r="F573" t="s">
        <v>883</v>
      </c>
      <c r="G573" t="s">
        <v>886</v>
      </c>
    </row>
    <row r="574" spans="2:7" hidden="1" x14ac:dyDescent="0.35">
      <c r="B574" t="s">
        <v>842</v>
      </c>
      <c r="C574">
        <v>376</v>
      </c>
      <c r="D574">
        <v>0</v>
      </c>
      <c r="E574">
        <v>7</v>
      </c>
      <c r="F574" t="s">
        <v>883</v>
      </c>
      <c r="G574" t="s">
        <v>886</v>
      </c>
    </row>
    <row r="575" spans="2:7" hidden="1" x14ac:dyDescent="0.35">
      <c r="B575" t="s">
        <v>842</v>
      </c>
      <c r="C575">
        <v>27</v>
      </c>
      <c r="D575">
        <v>5</v>
      </c>
      <c r="E575">
        <v>1</v>
      </c>
      <c r="F575" t="s">
        <v>883</v>
      </c>
      <c r="G575" t="s">
        <v>886</v>
      </c>
    </row>
    <row r="576" spans="2:7" hidden="1" x14ac:dyDescent="0.35">
      <c r="B576" t="s">
        <v>843</v>
      </c>
      <c r="C576">
        <v>38</v>
      </c>
      <c r="D576">
        <v>9</v>
      </c>
      <c r="E576">
        <v>2</v>
      </c>
      <c r="F576" t="s">
        <v>883</v>
      </c>
      <c r="G576" t="s">
        <v>886</v>
      </c>
    </row>
    <row r="577" spans="2:7" hidden="1" x14ac:dyDescent="0.35">
      <c r="B577" t="s">
        <v>844</v>
      </c>
      <c r="C577">
        <v>80</v>
      </c>
      <c r="D577">
        <v>22</v>
      </c>
      <c r="E577">
        <v>3</v>
      </c>
      <c r="F577" t="s">
        <v>883</v>
      </c>
      <c r="G577" t="s">
        <v>886</v>
      </c>
    </row>
    <row r="578" spans="2:7" hidden="1" x14ac:dyDescent="0.35">
      <c r="B578" t="s">
        <v>844</v>
      </c>
      <c r="C578">
        <v>216</v>
      </c>
      <c r="D578">
        <v>50</v>
      </c>
      <c r="E578">
        <v>4</v>
      </c>
      <c r="F578" t="s">
        <v>883</v>
      </c>
      <c r="G578" t="s">
        <v>886</v>
      </c>
    </row>
    <row r="579" spans="2:7" hidden="1" x14ac:dyDescent="0.35">
      <c r="B579" t="s">
        <v>845</v>
      </c>
      <c r="C579">
        <v>25</v>
      </c>
      <c r="D579">
        <v>7</v>
      </c>
      <c r="E579">
        <v>2</v>
      </c>
      <c r="F579" t="s">
        <v>883</v>
      </c>
      <c r="G579" t="s">
        <v>886</v>
      </c>
    </row>
    <row r="580" spans="2:7" hidden="1" x14ac:dyDescent="0.35">
      <c r="B580" t="s">
        <v>846</v>
      </c>
      <c r="C580">
        <v>85</v>
      </c>
      <c r="D580">
        <v>2</v>
      </c>
      <c r="E580">
        <v>6</v>
      </c>
      <c r="F580" t="s">
        <v>883</v>
      </c>
      <c r="G580" t="s">
        <v>886</v>
      </c>
    </row>
    <row r="581" spans="2:7" hidden="1" x14ac:dyDescent="0.35">
      <c r="B581" t="s">
        <v>846</v>
      </c>
      <c r="C581">
        <v>162</v>
      </c>
      <c r="D581">
        <v>55</v>
      </c>
      <c r="E581">
        <v>3</v>
      </c>
      <c r="F581" t="s">
        <v>883</v>
      </c>
      <c r="G581" t="s">
        <v>886</v>
      </c>
    </row>
    <row r="582" spans="2:7" hidden="1" x14ac:dyDescent="0.35">
      <c r="B582" t="s">
        <v>345</v>
      </c>
      <c r="C582">
        <v>139</v>
      </c>
      <c r="D582">
        <v>36</v>
      </c>
      <c r="E582">
        <v>3</v>
      </c>
      <c r="F582" t="s">
        <v>883</v>
      </c>
      <c r="G582" t="s">
        <v>886</v>
      </c>
    </row>
    <row r="583" spans="2:7" hidden="1" x14ac:dyDescent="0.35">
      <c r="B583" t="s">
        <v>345</v>
      </c>
      <c r="C583">
        <v>138</v>
      </c>
      <c r="D583">
        <v>11</v>
      </c>
      <c r="E583">
        <v>5</v>
      </c>
      <c r="F583" t="s">
        <v>883</v>
      </c>
      <c r="G583" t="s">
        <v>886</v>
      </c>
    </row>
    <row r="584" spans="2:7" hidden="1" x14ac:dyDescent="0.35">
      <c r="B584" t="s">
        <v>345</v>
      </c>
      <c r="C584">
        <v>156</v>
      </c>
      <c r="D584">
        <v>23</v>
      </c>
      <c r="E584">
        <v>3</v>
      </c>
      <c r="F584" t="s">
        <v>883</v>
      </c>
      <c r="G584" t="s">
        <v>886</v>
      </c>
    </row>
    <row r="585" spans="2:7" hidden="1" x14ac:dyDescent="0.35">
      <c r="B585" t="s">
        <v>141</v>
      </c>
      <c r="C585">
        <v>227</v>
      </c>
      <c r="D585">
        <v>48</v>
      </c>
      <c r="E585">
        <v>5</v>
      </c>
      <c r="F585" t="s">
        <v>883</v>
      </c>
      <c r="G585" t="s">
        <v>886</v>
      </c>
    </row>
    <row r="586" spans="2:7" hidden="1" x14ac:dyDescent="0.35">
      <c r="B586" t="s">
        <v>847</v>
      </c>
      <c r="C586">
        <v>70</v>
      </c>
      <c r="D586">
        <v>24</v>
      </c>
      <c r="E586">
        <v>3</v>
      </c>
      <c r="F586" t="s">
        <v>883</v>
      </c>
      <c r="G586" t="s">
        <v>886</v>
      </c>
    </row>
    <row r="587" spans="2:7" hidden="1" x14ac:dyDescent="0.35">
      <c r="B587" t="s">
        <v>142</v>
      </c>
      <c r="C587">
        <v>109</v>
      </c>
      <c r="D587">
        <v>52</v>
      </c>
      <c r="E587">
        <v>2</v>
      </c>
      <c r="F587" t="s">
        <v>883</v>
      </c>
      <c r="G587" t="s">
        <v>886</v>
      </c>
    </row>
    <row r="588" spans="2:7" hidden="1" x14ac:dyDescent="0.35">
      <c r="B588" t="s">
        <v>851</v>
      </c>
      <c r="C588">
        <v>44</v>
      </c>
      <c r="D588">
        <v>-40</v>
      </c>
      <c r="E588">
        <v>3</v>
      </c>
      <c r="F588" t="s">
        <v>883</v>
      </c>
      <c r="G588" t="s">
        <v>886</v>
      </c>
    </row>
    <row r="589" spans="2:7" hidden="1" x14ac:dyDescent="0.35">
      <c r="B589" t="s">
        <v>851</v>
      </c>
      <c r="C589">
        <v>50</v>
      </c>
      <c r="D589">
        <v>-17</v>
      </c>
      <c r="E589">
        <v>2</v>
      </c>
      <c r="F589" t="s">
        <v>883</v>
      </c>
      <c r="G589" t="s">
        <v>886</v>
      </c>
    </row>
    <row r="590" spans="2:7" hidden="1" x14ac:dyDescent="0.35">
      <c r="B590" t="s">
        <v>851</v>
      </c>
      <c r="C590">
        <v>13</v>
      </c>
      <c r="D590">
        <v>-2</v>
      </c>
      <c r="E590">
        <v>1</v>
      </c>
      <c r="F590" t="s">
        <v>883</v>
      </c>
      <c r="G590" t="s">
        <v>886</v>
      </c>
    </row>
    <row r="591" spans="2:7" hidden="1" x14ac:dyDescent="0.35">
      <c r="B591" t="s">
        <v>143</v>
      </c>
      <c r="C591">
        <v>146</v>
      </c>
      <c r="D591">
        <v>19</v>
      </c>
      <c r="E591">
        <v>5</v>
      </c>
      <c r="F591" t="s">
        <v>883</v>
      </c>
      <c r="G591" t="s">
        <v>886</v>
      </c>
    </row>
    <row r="592" spans="2:7" hidden="1" x14ac:dyDescent="0.35">
      <c r="B592" t="s">
        <v>144</v>
      </c>
      <c r="C592">
        <v>290</v>
      </c>
      <c r="D592">
        <v>110</v>
      </c>
      <c r="E592">
        <v>9</v>
      </c>
      <c r="F592" t="s">
        <v>883</v>
      </c>
      <c r="G592" t="s">
        <v>886</v>
      </c>
    </row>
    <row r="593" spans="2:7" hidden="1" x14ac:dyDescent="0.35">
      <c r="B593" t="s">
        <v>226</v>
      </c>
      <c r="C593">
        <v>34</v>
      </c>
      <c r="D593">
        <v>12</v>
      </c>
      <c r="E593">
        <v>2</v>
      </c>
      <c r="F593" t="s">
        <v>883</v>
      </c>
      <c r="G593" t="s">
        <v>886</v>
      </c>
    </row>
    <row r="594" spans="2:7" hidden="1" x14ac:dyDescent="0.35">
      <c r="B594" t="s">
        <v>189</v>
      </c>
      <c r="C594">
        <v>91</v>
      </c>
      <c r="D594">
        <v>22</v>
      </c>
      <c r="E594">
        <v>2</v>
      </c>
      <c r="F594" t="s">
        <v>883</v>
      </c>
      <c r="G594" t="s">
        <v>886</v>
      </c>
    </row>
    <row r="595" spans="2:7" hidden="1" x14ac:dyDescent="0.35">
      <c r="B595" t="s">
        <v>859</v>
      </c>
      <c r="C595">
        <v>137</v>
      </c>
      <c r="D595">
        <v>63</v>
      </c>
      <c r="E595">
        <v>3</v>
      </c>
      <c r="F595" t="s">
        <v>883</v>
      </c>
      <c r="G595" t="s">
        <v>886</v>
      </c>
    </row>
    <row r="596" spans="2:7" hidden="1" x14ac:dyDescent="0.35">
      <c r="B596" t="s">
        <v>862</v>
      </c>
      <c r="C596">
        <v>79</v>
      </c>
      <c r="D596">
        <v>33</v>
      </c>
      <c r="E596">
        <v>4</v>
      </c>
      <c r="F596" t="s">
        <v>883</v>
      </c>
      <c r="G596" t="s">
        <v>886</v>
      </c>
    </row>
    <row r="597" spans="2:7" hidden="1" x14ac:dyDescent="0.35">
      <c r="B597" t="s">
        <v>863</v>
      </c>
      <c r="C597">
        <v>95</v>
      </c>
      <c r="D597">
        <v>5</v>
      </c>
      <c r="E597">
        <v>2</v>
      </c>
      <c r="F597" t="s">
        <v>883</v>
      </c>
      <c r="G597" t="s">
        <v>886</v>
      </c>
    </row>
    <row r="598" spans="2:7" hidden="1" x14ac:dyDescent="0.35">
      <c r="B598" t="s">
        <v>866</v>
      </c>
      <c r="C598">
        <v>40</v>
      </c>
      <c r="D598">
        <v>17</v>
      </c>
      <c r="E598">
        <v>2</v>
      </c>
      <c r="F598" t="s">
        <v>883</v>
      </c>
      <c r="G598" t="s">
        <v>886</v>
      </c>
    </row>
    <row r="599" spans="2:7" hidden="1" x14ac:dyDescent="0.35">
      <c r="B599" t="s">
        <v>868</v>
      </c>
      <c r="C599">
        <v>40</v>
      </c>
      <c r="D599">
        <v>10</v>
      </c>
      <c r="E599">
        <v>2</v>
      </c>
      <c r="F599" t="s">
        <v>883</v>
      </c>
      <c r="G599" t="s">
        <v>886</v>
      </c>
    </row>
    <row r="600" spans="2:7" hidden="1" x14ac:dyDescent="0.35">
      <c r="B600" t="s">
        <v>868</v>
      </c>
      <c r="C600">
        <v>180</v>
      </c>
      <c r="D600">
        <v>0</v>
      </c>
      <c r="E600">
        <v>8</v>
      </c>
      <c r="F600" t="s">
        <v>883</v>
      </c>
      <c r="G600" t="s">
        <v>886</v>
      </c>
    </row>
    <row r="601" spans="2:7" hidden="1" x14ac:dyDescent="0.35">
      <c r="B601" t="s">
        <v>871</v>
      </c>
      <c r="C601">
        <v>80</v>
      </c>
      <c r="D601">
        <v>22</v>
      </c>
      <c r="E601">
        <v>3</v>
      </c>
      <c r="F601" t="s">
        <v>883</v>
      </c>
      <c r="G601" t="s">
        <v>886</v>
      </c>
    </row>
    <row r="602" spans="2:7" hidden="1" x14ac:dyDescent="0.35">
      <c r="B602" t="s">
        <v>872</v>
      </c>
      <c r="C602">
        <v>158</v>
      </c>
      <c r="D602">
        <v>69</v>
      </c>
      <c r="E602">
        <v>3</v>
      </c>
      <c r="F602" t="s">
        <v>883</v>
      </c>
      <c r="G602" t="s">
        <v>886</v>
      </c>
    </row>
    <row r="603" spans="2:7" hidden="1" x14ac:dyDescent="0.35">
      <c r="B603" t="s">
        <v>190</v>
      </c>
      <c r="C603">
        <v>152</v>
      </c>
      <c r="D603">
        <v>50</v>
      </c>
      <c r="E603">
        <v>6</v>
      </c>
      <c r="F603" t="s">
        <v>883</v>
      </c>
      <c r="G603" t="s">
        <v>886</v>
      </c>
    </row>
    <row r="604" spans="2:7" hidden="1" x14ac:dyDescent="0.35">
      <c r="B604" t="s">
        <v>355</v>
      </c>
      <c r="C604">
        <v>65</v>
      </c>
      <c r="D604">
        <v>17</v>
      </c>
      <c r="E604">
        <v>2</v>
      </c>
      <c r="F604" t="s">
        <v>883</v>
      </c>
      <c r="G604" t="s">
        <v>887</v>
      </c>
    </row>
    <row r="605" spans="2:7" hidden="1" x14ac:dyDescent="0.35">
      <c r="B605" t="s">
        <v>426</v>
      </c>
      <c r="C605">
        <v>34</v>
      </c>
      <c r="D605">
        <v>-22</v>
      </c>
      <c r="E605">
        <v>4</v>
      </c>
      <c r="F605" t="s">
        <v>883</v>
      </c>
      <c r="G605" t="s">
        <v>887</v>
      </c>
    </row>
    <row r="606" spans="2:7" hidden="1" x14ac:dyDescent="0.35">
      <c r="B606" t="s">
        <v>11</v>
      </c>
      <c r="C606">
        <v>86</v>
      </c>
      <c r="D606">
        <v>0</v>
      </c>
      <c r="E606">
        <v>4</v>
      </c>
      <c r="F606" t="s">
        <v>883</v>
      </c>
      <c r="G606" t="s">
        <v>887</v>
      </c>
    </row>
    <row r="607" spans="2:7" hidden="1" x14ac:dyDescent="0.35">
      <c r="B607" t="s">
        <v>449</v>
      </c>
      <c r="C607">
        <v>30</v>
      </c>
      <c r="D607">
        <v>13</v>
      </c>
      <c r="E607">
        <v>1</v>
      </c>
      <c r="F607" t="s">
        <v>883</v>
      </c>
      <c r="G607" t="s">
        <v>887</v>
      </c>
    </row>
    <row r="608" spans="2:7" hidden="1" x14ac:dyDescent="0.35">
      <c r="B608" t="s">
        <v>13</v>
      </c>
      <c r="C608">
        <v>16</v>
      </c>
      <c r="D608">
        <v>-10</v>
      </c>
      <c r="E608">
        <v>2</v>
      </c>
      <c r="F608" t="s">
        <v>883</v>
      </c>
      <c r="G608" t="s">
        <v>887</v>
      </c>
    </row>
    <row r="609" spans="2:7" hidden="1" x14ac:dyDescent="0.35">
      <c r="B609" t="s">
        <v>457</v>
      </c>
      <c r="C609">
        <v>27</v>
      </c>
      <c r="D609">
        <v>9</v>
      </c>
      <c r="E609">
        <v>2</v>
      </c>
      <c r="F609" t="s">
        <v>883</v>
      </c>
      <c r="G609" t="s">
        <v>887</v>
      </c>
    </row>
    <row r="610" spans="2:7" hidden="1" x14ac:dyDescent="0.35">
      <c r="B610" t="s">
        <v>459</v>
      </c>
      <c r="C610">
        <v>148</v>
      </c>
      <c r="D610">
        <v>72</v>
      </c>
      <c r="E610">
        <v>7</v>
      </c>
      <c r="F610" t="s">
        <v>883</v>
      </c>
      <c r="G610" t="s">
        <v>887</v>
      </c>
    </row>
    <row r="611" spans="2:7" hidden="1" x14ac:dyDescent="0.35">
      <c r="B611" t="s">
        <v>239</v>
      </c>
      <c r="C611">
        <v>24</v>
      </c>
      <c r="D611">
        <v>-2</v>
      </c>
      <c r="E611">
        <v>2</v>
      </c>
      <c r="F611" t="s">
        <v>883</v>
      </c>
      <c r="G611" t="s">
        <v>887</v>
      </c>
    </row>
    <row r="612" spans="2:7" hidden="1" x14ac:dyDescent="0.35">
      <c r="B612" t="s">
        <v>479</v>
      </c>
      <c r="C612">
        <v>37</v>
      </c>
      <c r="D612">
        <v>-5</v>
      </c>
      <c r="E612">
        <v>3</v>
      </c>
      <c r="F612" t="s">
        <v>883</v>
      </c>
      <c r="G612" t="s">
        <v>887</v>
      </c>
    </row>
    <row r="613" spans="2:7" hidden="1" x14ac:dyDescent="0.35">
      <c r="B613" t="s">
        <v>245</v>
      </c>
      <c r="C613">
        <v>51</v>
      </c>
      <c r="D613">
        <v>21</v>
      </c>
      <c r="E613">
        <v>3</v>
      </c>
      <c r="F613" t="s">
        <v>883</v>
      </c>
      <c r="G613" t="s">
        <v>887</v>
      </c>
    </row>
    <row r="614" spans="2:7" hidden="1" x14ac:dyDescent="0.35">
      <c r="B614" t="s">
        <v>157</v>
      </c>
      <c r="C614">
        <v>82</v>
      </c>
      <c r="D614">
        <v>-39</v>
      </c>
      <c r="E614">
        <v>5</v>
      </c>
      <c r="F614" t="s">
        <v>883</v>
      </c>
      <c r="G614" t="s">
        <v>887</v>
      </c>
    </row>
    <row r="615" spans="2:7" hidden="1" x14ac:dyDescent="0.35">
      <c r="B615" t="s">
        <v>490</v>
      </c>
      <c r="C615">
        <v>167</v>
      </c>
      <c r="D615">
        <v>43</v>
      </c>
      <c r="E615">
        <v>7</v>
      </c>
      <c r="F615" t="s">
        <v>883</v>
      </c>
      <c r="G615" t="s">
        <v>887</v>
      </c>
    </row>
    <row r="616" spans="2:7" hidden="1" x14ac:dyDescent="0.35">
      <c r="B616" t="s">
        <v>201</v>
      </c>
      <c r="C616">
        <v>53</v>
      </c>
      <c r="D616">
        <v>-18</v>
      </c>
      <c r="E616">
        <v>4</v>
      </c>
      <c r="F616" t="s">
        <v>883</v>
      </c>
      <c r="G616" t="s">
        <v>887</v>
      </c>
    </row>
    <row r="617" spans="2:7" hidden="1" x14ac:dyDescent="0.35">
      <c r="B617" t="s">
        <v>201</v>
      </c>
      <c r="C617">
        <v>13</v>
      </c>
      <c r="D617">
        <v>-8</v>
      </c>
      <c r="E617">
        <v>1</v>
      </c>
      <c r="F617" t="s">
        <v>883</v>
      </c>
      <c r="G617" t="s">
        <v>887</v>
      </c>
    </row>
    <row r="618" spans="2:7" hidden="1" x14ac:dyDescent="0.35">
      <c r="B618" t="s">
        <v>53</v>
      </c>
      <c r="C618">
        <v>91</v>
      </c>
      <c r="D618">
        <v>15</v>
      </c>
      <c r="E618">
        <v>6</v>
      </c>
      <c r="F618" t="s">
        <v>883</v>
      </c>
      <c r="G618" t="s">
        <v>887</v>
      </c>
    </row>
    <row r="619" spans="2:7" hidden="1" x14ac:dyDescent="0.35">
      <c r="B619" t="s">
        <v>542</v>
      </c>
      <c r="C619">
        <v>107</v>
      </c>
      <c r="D619">
        <v>31</v>
      </c>
      <c r="E619">
        <v>5</v>
      </c>
      <c r="F619" t="s">
        <v>883</v>
      </c>
      <c r="G619" t="s">
        <v>887</v>
      </c>
    </row>
    <row r="620" spans="2:7" hidden="1" x14ac:dyDescent="0.35">
      <c r="B620" t="s">
        <v>542</v>
      </c>
      <c r="C620">
        <v>154</v>
      </c>
      <c r="D620">
        <v>22</v>
      </c>
      <c r="E620">
        <v>7</v>
      </c>
      <c r="F620" t="s">
        <v>883</v>
      </c>
      <c r="G620" t="s">
        <v>887</v>
      </c>
    </row>
    <row r="621" spans="2:7" hidden="1" x14ac:dyDescent="0.35">
      <c r="B621" t="s">
        <v>55</v>
      </c>
      <c r="C621">
        <v>34</v>
      </c>
      <c r="D621">
        <v>-11</v>
      </c>
      <c r="E621">
        <v>5</v>
      </c>
      <c r="F621" t="s">
        <v>883</v>
      </c>
      <c r="G621" t="s">
        <v>887</v>
      </c>
    </row>
    <row r="622" spans="2:7" hidden="1" x14ac:dyDescent="0.35">
      <c r="B622" t="s">
        <v>207</v>
      </c>
      <c r="C622">
        <v>119</v>
      </c>
      <c r="D622">
        <v>43</v>
      </c>
      <c r="E622">
        <v>5</v>
      </c>
      <c r="F622" t="s">
        <v>883</v>
      </c>
      <c r="G622" t="s">
        <v>887</v>
      </c>
    </row>
    <row r="623" spans="2:7" hidden="1" x14ac:dyDescent="0.35">
      <c r="B623" t="s">
        <v>61</v>
      </c>
      <c r="C623">
        <v>59</v>
      </c>
      <c r="D623">
        <v>-46</v>
      </c>
      <c r="E623">
        <v>7</v>
      </c>
      <c r="F623" t="s">
        <v>883</v>
      </c>
      <c r="G623" t="s">
        <v>887</v>
      </c>
    </row>
    <row r="624" spans="2:7" hidden="1" x14ac:dyDescent="0.35">
      <c r="B624" t="s">
        <v>567</v>
      </c>
      <c r="C624">
        <v>30</v>
      </c>
      <c r="D624">
        <v>-25</v>
      </c>
      <c r="E624">
        <v>2</v>
      </c>
      <c r="F624" t="s">
        <v>883</v>
      </c>
      <c r="G624" t="s">
        <v>887</v>
      </c>
    </row>
    <row r="625" spans="2:7" hidden="1" x14ac:dyDescent="0.35">
      <c r="B625" t="s">
        <v>571</v>
      </c>
      <c r="C625">
        <v>45</v>
      </c>
      <c r="D625">
        <v>0</v>
      </c>
      <c r="E625">
        <v>2</v>
      </c>
      <c r="F625" t="s">
        <v>883</v>
      </c>
      <c r="G625" t="s">
        <v>887</v>
      </c>
    </row>
    <row r="626" spans="2:7" hidden="1" x14ac:dyDescent="0.35">
      <c r="B626" t="s">
        <v>166</v>
      </c>
      <c r="C626">
        <v>15</v>
      </c>
      <c r="D626">
        <v>-2</v>
      </c>
      <c r="E626">
        <v>1</v>
      </c>
      <c r="F626" t="s">
        <v>883</v>
      </c>
      <c r="G626" t="s">
        <v>887</v>
      </c>
    </row>
    <row r="627" spans="2:7" hidden="1" x14ac:dyDescent="0.35">
      <c r="B627" t="s">
        <v>589</v>
      </c>
      <c r="C627">
        <v>156</v>
      </c>
      <c r="D627">
        <v>36</v>
      </c>
      <c r="E627">
        <v>5</v>
      </c>
      <c r="F627" t="s">
        <v>883</v>
      </c>
      <c r="G627" t="s">
        <v>887</v>
      </c>
    </row>
    <row r="628" spans="2:7" hidden="1" x14ac:dyDescent="0.35">
      <c r="B628" t="s">
        <v>77</v>
      </c>
      <c r="C628">
        <v>118</v>
      </c>
      <c r="D628">
        <v>35</v>
      </c>
      <c r="E628">
        <v>7</v>
      </c>
      <c r="F628" t="s">
        <v>883</v>
      </c>
      <c r="G628" t="s">
        <v>887</v>
      </c>
    </row>
    <row r="629" spans="2:7" hidden="1" x14ac:dyDescent="0.35">
      <c r="B629" t="s">
        <v>631</v>
      </c>
      <c r="C629">
        <v>45</v>
      </c>
      <c r="D629">
        <v>1</v>
      </c>
      <c r="E629">
        <v>3</v>
      </c>
      <c r="F629" t="s">
        <v>883</v>
      </c>
      <c r="G629" t="s">
        <v>887</v>
      </c>
    </row>
    <row r="630" spans="2:7" hidden="1" x14ac:dyDescent="0.35">
      <c r="B630" t="s">
        <v>632</v>
      </c>
      <c r="C630">
        <v>57</v>
      </c>
      <c r="D630">
        <v>27</v>
      </c>
      <c r="E630">
        <v>2</v>
      </c>
      <c r="F630" t="s">
        <v>883</v>
      </c>
      <c r="G630" t="s">
        <v>887</v>
      </c>
    </row>
    <row r="631" spans="2:7" hidden="1" x14ac:dyDescent="0.35">
      <c r="B631" t="s">
        <v>632</v>
      </c>
      <c r="C631">
        <v>90</v>
      </c>
      <c r="D631">
        <v>29</v>
      </c>
      <c r="E631">
        <v>5</v>
      </c>
      <c r="F631" t="s">
        <v>883</v>
      </c>
      <c r="G631" t="s">
        <v>887</v>
      </c>
    </row>
    <row r="632" spans="2:7" hidden="1" x14ac:dyDescent="0.35">
      <c r="B632" t="s">
        <v>632</v>
      </c>
      <c r="C632">
        <v>237</v>
      </c>
      <c r="D632">
        <v>47</v>
      </c>
      <c r="E632">
        <v>9</v>
      </c>
      <c r="F632" t="s">
        <v>883</v>
      </c>
      <c r="G632" t="s">
        <v>887</v>
      </c>
    </row>
    <row r="633" spans="2:7" hidden="1" x14ac:dyDescent="0.35">
      <c r="B633" t="s">
        <v>656</v>
      </c>
      <c r="C633">
        <v>124</v>
      </c>
      <c r="D633">
        <v>54</v>
      </c>
      <c r="E633">
        <v>5</v>
      </c>
      <c r="F633" t="s">
        <v>883</v>
      </c>
      <c r="G633" t="s">
        <v>887</v>
      </c>
    </row>
    <row r="634" spans="2:7" hidden="1" x14ac:dyDescent="0.35">
      <c r="B634" t="s">
        <v>315</v>
      </c>
      <c r="C634">
        <v>84</v>
      </c>
      <c r="D634">
        <v>41</v>
      </c>
      <c r="E634">
        <v>3</v>
      </c>
      <c r="F634" t="s">
        <v>883</v>
      </c>
      <c r="G634" t="s">
        <v>887</v>
      </c>
    </row>
    <row r="635" spans="2:7" hidden="1" x14ac:dyDescent="0.35">
      <c r="B635" t="s">
        <v>673</v>
      </c>
      <c r="C635">
        <v>63</v>
      </c>
      <c r="D635">
        <v>1</v>
      </c>
      <c r="E635">
        <v>4</v>
      </c>
      <c r="F635" t="s">
        <v>883</v>
      </c>
      <c r="G635" t="s">
        <v>887</v>
      </c>
    </row>
    <row r="636" spans="2:7" hidden="1" x14ac:dyDescent="0.35">
      <c r="B636" t="s">
        <v>678</v>
      </c>
      <c r="C636">
        <v>114</v>
      </c>
      <c r="D636">
        <v>11</v>
      </c>
      <c r="E636">
        <v>4</v>
      </c>
      <c r="F636" t="s">
        <v>883</v>
      </c>
      <c r="G636" t="s">
        <v>887</v>
      </c>
    </row>
    <row r="637" spans="2:7" hidden="1" x14ac:dyDescent="0.35">
      <c r="B637" t="s">
        <v>321</v>
      </c>
      <c r="C637">
        <v>190</v>
      </c>
      <c r="D637">
        <v>68</v>
      </c>
      <c r="E637">
        <v>8</v>
      </c>
      <c r="F637" t="s">
        <v>883</v>
      </c>
      <c r="G637" t="s">
        <v>887</v>
      </c>
    </row>
    <row r="638" spans="2:7" hidden="1" x14ac:dyDescent="0.35">
      <c r="B638" t="s">
        <v>686</v>
      </c>
      <c r="C638">
        <v>53</v>
      </c>
      <c r="D638">
        <v>5</v>
      </c>
      <c r="E638">
        <v>3</v>
      </c>
      <c r="F638" t="s">
        <v>883</v>
      </c>
      <c r="G638" t="s">
        <v>887</v>
      </c>
    </row>
    <row r="639" spans="2:7" hidden="1" x14ac:dyDescent="0.35">
      <c r="B639" t="s">
        <v>689</v>
      </c>
      <c r="C639">
        <v>140</v>
      </c>
      <c r="D639">
        <v>68</v>
      </c>
      <c r="E639">
        <v>5</v>
      </c>
      <c r="F639" t="s">
        <v>883</v>
      </c>
      <c r="G639" t="s">
        <v>887</v>
      </c>
    </row>
    <row r="640" spans="2:7" hidden="1" x14ac:dyDescent="0.35">
      <c r="B640" t="s">
        <v>690</v>
      </c>
      <c r="C640">
        <v>90</v>
      </c>
      <c r="D640">
        <v>27</v>
      </c>
      <c r="E640">
        <v>2</v>
      </c>
      <c r="F640" t="s">
        <v>883</v>
      </c>
      <c r="G640" t="s">
        <v>887</v>
      </c>
    </row>
    <row r="641" spans="2:7" hidden="1" x14ac:dyDescent="0.35">
      <c r="B641" t="s">
        <v>699</v>
      </c>
      <c r="C641">
        <v>102</v>
      </c>
      <c r="D641">
        <v>11</v>
      </c>
      <c r="E641">
        <v>6</v>
      </c>
      <c r="F641" t="s">
        <v>883</v>
      </c>
      <c r="G641" t="s">
        <v>887</v>
      </c>
    </row>
    <row r="642" spans="2:7" hidden="1" x14ac:dyDescent="0.35">
      <c r="B642" t="s">
        <v>325</v>
      </c>
      <c r="C642">
        <v>100</v>
      </c>
      <c r="D642">
        <v>12</v>
      </c>
      <c r="E642">
        <v>2</v>
      </c>
      <c r="F642" t="s">
        <v>883</v>
      </c>
      <c r="G642" t="s">
        <v>887</v>
      </c>
    </row>
    <row r="643" spans="2:7" hidden="1" x14ac:dyDescent="0.35">
      <c r="B643" t="s">
        <v>707</v>
      </c>
      <c r="C643">
        <v>28</v>
      </c>
      <c r="D643">
        <v>4</v>
      </c>
      <c r="E643">
        <v>1</v>
      </c>
      <c r="F643" t="s">
        <v>883</v>
      </c>
      <c r="G643" t="s">
        <v>887</v>
      </c>
    </row>
    <row r="644" spans="2:7" hidden="1" x14ac:dyDescent="0.35">
      <c r="B644" t="s">
        <v>709</v>
      </c>
      <c r="C644">
        <v>100</v>
      </c>
      <c r="D644">
        <v>7</v>
      </c>
      <c r="E644">
        <v>2</v>
      </c>
      <c r="F644" t="s">
        <v>883</v>
      </c>
      <c r="G644" t="s">
        <v>887</v>
      </c>
    </row>
    <row r="645" spans="2:7" hidden="1" x14ac:dyDescent="0.35">
      <c r="B645" t="s">
        <v>711</v>
      </c>
      <c r="C645">
        <v>170</v>
      </c>
      <c r="D645">
        <v>19</v>
      </c>
      <c r="E645">
        <v>5</v>
      </c>
      <c r="F645" t="s">
        <v>883</v>
      </c>
      <c r="G645" t="s">
        <v>887</v>
      </c>
    </row>
    <row r="646" spans="2:7" hidden="1" x14ac:dyDescent="0.35">
      <c r="B646" t="s">
        <v>722</v>
      </c>
      <c r="C646">
        <v>40</v>
      </c>
      <c r="D646">
        <v>13</v>
      </c>
      <c r="E646">
        <v>3</v>
      </c>
      <c r="F646" t="s">
        <v>883</v>
      </c>
      <c r="G646" t="s">
        <v>887</v>
      </c>
    </row>
    <row r="647" spans="2:7" hidden="1" x14ac:dyDescent="0.35">
      <c r="B647" t="s">
        <v>722</v>
      </c>
      <c r="C647">
        <v>202</v>
      </c>
      <c r="D647">
        <v>89</v>
      </c>
      <c r="E647">
        <v>9</v>
      </c>
      <c r="F647" t="s">
        <v>883</v>
      </c>
      <c r="G647" t="s">
        <v>887</v>
      </c>
    </row>
    <row r="648" spans="2:7" hidden="1" x14ac:dyDescent="0.35">
      <c r="B648" t="s">
        <v>744</v>
      </c>
      <c r="C648">
        <v>67</v>
      </c>
      <c r="D648">
        <v>20</v>
      </c>
      <c r="E648">
        <v>4</v>
      </c>
      <c r="F648" t="s">
        <v>883</v>
      </c>
      <c r="G648" t="s">
        <v>887</v>
      </c>
    </row>
    <row r="649" spans="2:7" hidden="1" x14ac:dyDescent="0.35">
      <c r="B649" t="s">
        <v>218</v>
      </c>
      <c r="C649">
        <v>54</v>
      </c>
      <c r="D649">
        <v>14</v>
      </c>
      <c r="E649">
        <v>3</v>
      </c>
      <c r="F649" t="s">
        <v>883</v>
      </c>
      <c r="G649" t="s">
        <v>887</v>
      </c>
    </row>
    <row r="650" spans="2:7" hidden="1" x14ac:dyDescent="0.35">
      <c r="B650" t="s">
        <v>218</v>
      </c>
      <c r="C650">
        <v>294</v>
      </c>
      <c r="D650">
        <v>62</v>
      </c>
      <c r="E650">
        <v>9</v>
      </c>
      <c r="F650" t="s">
        <v>883</v>
      </c>
      <c r="G650" t="s">
        <v>887</v>
      </c>
    </row>
    <row r="651" spans="2:7" hidden="1" x14ac:dyDescent="0.35">
      <c r="B651" t="s">
        <v>757</v>
      </c>
      <c r="C651">
        <v>171</v>
      </c>
      <c r="D651">
        <v>17</v>
      </c>
      <c r="E651">
        <v>6</v>
      </c>
      <c r="F651" t="s">
        <v>883</v>
      </c>
      <c r="G651" t="s">
        <v>887</v>
      </c>
    </row>
    <row r="652" spans="2:7" hidden="1" x14ac:dyDescent="0.35">
      <c r="B652" t="s">
        <v>766</v>
      </c>
      <c r="C652">
        <v>193</v>
      </c>
      <c r="D652">
        <v>8</v>
      </c>
      <c r="E652">
        <v>4</v>
      </c>
      <c r="F652" t="s">
        <v>883</v>
      </c>
      <c r="G652" t="s">
        <v>887</v>
      </c>
    </row>
    <row r="653" spans="2:7" hidden="1" x14ac:dyDescent="0.35">
      <c r="B653" t="s">
        <v>768</v>
      </c>
      <c r="C653">
        <v>180</v>
      </c>
      <c r="D653">
        <v>54</v>
      </c>
      <c r="E653">
        <v>4</v>
      </c>
      <c r="F653" t="s">
        <v>883</v>
      </c>
      <c r="G653" t="s">
        <v>887</v>
      </c>
    </row>
    <row r="654" spans="2:7" hidden="1" x14ac:dyDescent="0.35">
      <c r="B654" t="s">
        <v>770</v>
      </c>
      <c r="C654">
        <v>62</v>
      </c>
      <c r="D654">
        <v>8</v>
      </c>
      <c r="E654">
        <v>2</v>
      </c>
      <c r="F654" t="s">
        <v>883</v>
      </c>
      <c r="G654" t="s">
        <v>887</v>
      </c>
    </row>
    <row r="655" spans="2:7" hidden="1" x14ac:dyDescent="0.35">
      <c r="B655" t="s">
        <v>774</v>
      </c>
      <c r="C655">
        <v>50</v>
      </c>
      <c r="D655">
        <v>-4</v>
      </c>
      <c r="E655">
        <v>6</v>
      </c>
      <c r="F655" t="s">
        <v>883</v>
      </c>
      <c r="G655" t="s">
        <v>887</v>
      </c>
    </row>
    <row r="656" spans="2:7" hidden="1" x14ac:dyDescent="0.35">
      <c r="B656" t="s">
        <v>801</v>
      </c>
      <c r="C656">
        <v>71</v>
      </c>
      <c r="D656">
        <v>19</v>
      </c>
      <c r="E656">
        <v>3</v>
      </c>
      <c r="F656" t="s">
        <v>883</v>
      </c>
      <c r="G656" t="s">
        <v>887</v>
      </c>
    </row>
    <row r="657" spans="2:7" hidden="1" x14ac:dyDescent="0.35">
      <c r="B657" t="s">
        <v>183</v>
      </c>
      <c r="C657">
        <v>79</v>
      </c>
      <c r="D657">
        <v>16</v>
      </c>
      <c r="E657">
        <v>3</v>
      </c>
      <c r="F657" t="s">
        <v>883</v>
      </c>
      <c r="G657" t="s">
        <v>887</v>
      </c>
    </row>
    <row r="658" spans="2:7" hidden="1" x14ac:dyDescent="0.35">
      <c r="B658" t="s">
        <v>812</v>
      </c>
      <c r="C658">
        <v>55</v>
      </c>
      <c r="D658">
        <v>3</v>
      </c>
      <c r="E658">
        <v>3</v>
      </c>
      <c r="F658" t="s">
        <v>883</v>
      </c>
      <c r="G658" t="s">
        <v>887</v>
      </c>
    </row>
    <row r="659" spans="2:7" hidden="1" x14ac:dyDescent="0.35">
      <c r="B659" t="s">
        <v>820</v>
      </c>
      <c r="C659">
        <v>585</v>
      </c>
      <c r="D659">
        <v>175</v>
      </c>
      <c r="E659">
        <v>13</v>
      </c>
      <c r="F659" t="s">
        <v>883</v>
      </c>
      <c r="G659" t="s">
        <v>887</v>
      </c>
    </row>
    <row r="660" spans="2:7" hidden="1" x14ac:dyDescent="0.35">
      <c r="B660" t="s">
        <v>828</v>
      </c>
      <c r="C660">
        <v>54</v>
      </c>
      <c r="D660">
        <v>8</v>
      </c>
      <c r="E660">
        <v>4</v>
      </c>
      <c r="F660" t="s">
        <v>883</v>
      </c>
      <c r="G660" t="s">
        <v>887</v>
      </c>
    </row>
    <row r="661" spans="2:7" hidden="1" x14ac:dyDescent="0.35">
      <c r="B661" t="s">
        <v>830</v>
      </c>
      <c r="C661">
        <v>21</v>
      </c>
      <c r="D661">
        <v>10</v>
      </c>
      <c r="E661">
        <v>1</v>
      </c>
      <c r="F661" t="s">
        <v>883</v>
      </c>
      <c r="G661" t="s">
        <v>887</v>
      </c>
    </row>
    <row r="662" spans="2:7" hidden="1" x14ac:dyDescent="0.35">
      <c r="B662" t="s">
        <v>835</v>
      </c>
      <c r="C662">
        <v>41</v>
      </c>
      <c r="D662">
        <v>19</v>
      </c>
      <c r="E662">
        <v>2</v>
      </c>
      <c r="F662" t="s">
        <v>883</v>
      </c>
      <c r="G662" t="s">
        <v>887</v>
      </c>
    </row>
    <row r="663" spans="2:7" hidden="1" x14ac:dyDescent="0.35">
      <c r="B663" t="s">
        <v>835</v>
      </c>
      <c r="C663">
        <v>30</v>
      </c>
      <c r="D663">
        <v>6</v>
      </c>
      <c r="E663">
        <v>1</v>
      </c>
      <c r="F663" t="s">
        <v>883</v>
      </c>
      <c r="G663" t="s">
        <v>887</v>
      </c>
    </row>
    <row r="664" spans="2:7" hidden="1" x14ac:dyDescent="0.35">
      <c r="B664" t="s">
        <v>843</v>
      </c>
      <c r="C664">
        <v>325</v>
      </c>
      <c r="D664">
        <v>32</v>
      </c>
      <c r="E664">
        <v>7</v>
      </c>
      <c r="F664" t="s">
        <v>883</v>
      </c>
      <c r="G664" t="s">
        <v>887</v>
      </c>
    </row>
    <row r="665" spans="2:7" hidden="1" x14ac:dyDescent="0.35">
      <c r="B665" t="s">
        <v>844</v>
      </c>
      <c r="C665">
        <v>184</v>
      </c>
      <c r="D665">
        <v>85</v>
      </c>
      <c r="E665">
        <v>6</v>
      </c>
      <c r="F665" t="s">
        <v>883</v>
      </c>
      <c r="G665" t="s">
        <v>887</v>
      </c>
    </row>
    <row r="666" spans="2:7" hidden="1" x14ac:dyDescent="0.35">
      <c r="B666" t="s">
        <v>845</v>
      </c>
      <c r="C666">
        <v>101</v>
      </c>
      <c r="D666">
        <v>16</v>
      </c>
      <c r="E666">
        <v>4</v>
      </c>
      <c r="F666" t="s">
        <v>883</v>
      </c>
      <c r="G666" t="s">
        <v>887</v>
      </c>
    </row>
    <row r="667" spans="2:7" hidden="1" x14ac:dyDescent="0.35">
      <c r="B667" t="s">
        <v>141</v>
      </c>
      <c r="C667">
        <v>94</v>
      </c>
      <c r="D667">
        <v>27</v>
      </c>
      <c r="E667">
        <v>2</v>
      </c>
      <c r="F667" t="s">
        <v>883</v>
      </c>
      <c r="G667" t="s">
        <v>887</v>
      </c>
    </row>
    <row r="668" spans="2:7" hidden="1" x14ac:dyDescent="0.35">
      <c r="B668" t="s">
        <v>848</v>
      </c>
      <c r="C668">
        <v>54</v>
      </c>
      <c r="D668">
        <v>8</v>
      </c>
      <c r="E668">
        <v>4</v>
      </c>
      <c r="F668" t="s">
        <v>883</v>
      </c>
      <c r="G668" t="s">
        <v>887</v>
      </c>
    </row>
    <row r="669" spans="2:7" hidden="1" x14ac:dyDescent="0.35">
      <c r="B669" t="s">
        <v>850</v>
      </c>
      <c r="C669">
        <v>20</v>
      </c>
      <c r="D669">
        <v>6</v>
      </c>
      <c r="E669">
        <v>1</v>
      </c>
      <c r="F669" t="s">
        <v>883</v>
      </c>
      <c r="G669" t="s">
        <v>887</v>
      </c>
    </row>
    <row r="670" spans="2:7" hidden="1" x14ac:dyDescent="0.35">
      <c r="B670" t="s">
        <v>142</v>
      </c>
      <c r="C670">
        <v>27</v>
      </c>
      <c r="D670">
        <v>8</v>
      </c>
      <c r="E670">
        <v>2</v>
      </c>
      <c r="F670" t="s">
        <v>883</v>
      </c>
      <c r="G670" t="s">
        <v>887</v>
      </c>
    </row>
    <row r="671" spans="2:7" hidden="1" x14ac:dyDescent="0.35">
      <c r="B671" t="s">
        <v>347</v>
      </c>
      <c r="C671">
        <v>122</v>
      </c>
      <c r="D671">
        <v>38</v>
      </c>
      <c r="E671">
        <v>6</v>
      </c>
      <c r="F671" t="s">
        <v>883</v>
      </c>
      <c r="G671" t="s">
        <v>887</v>
      </c>
    </row>
    <row r="672" spans="2:7" hidden="1" x14ac:dyDescent="0.35">
      <c r="B672" t="s">
        <v>188</v>
      </c>
      <c r="C672">
        <v>67</v>
      </c>
      <c r="D672">
        <v>2</v>
      </c>
      <c r="E672">
        <v>4</v>
      </c>
      <c r="F672" t="s">
        <v>883</v>
      </c>
      <c r="G672" t="s">
        <v>887</v>
      </c>
    </row>
    <row r="673" spans="2:7" hidden="1" x14ac:dyDescent="0.35">
      <c r="B673" t="s">
        <v>189</v>
      </c>
      <c r="C673">
        <v>60</v>
      </c>
      <c r="D673">
        <v>13</v>
      </c>
      <c r="E673">
        <v>2</v>
      </c>
      <c r="F673" t="s">
        <v>883</v>
      </c>
      <c r="G673" t="s">
        <v>887</v>
      </c>
    </row>
    <row r="674" spans="2:7" hidden="1" x14ac:dyDescent="0.35">
      <c r="B674" t="s">
        <v>859</v>
      </c>
      <c r="C674">
        <v>44</v>
      </c>
      <c r="D674">
        <v>20</v>
      </c>
      <c r="E674">
        <v>2</v>
      </c>
      <c r="F674" t="s">
        <v>883</v>
      </c>
      <c r="G674" t="s">
        <v>887</v>
      </c>
    </row>
    <row r="675" spans="2:7" hidden="1" x14ac:dyDescent="0.35">
      <c r="B675" t="s">
        <v>861</v>
      </c>
      <c r="C675">
        <v>109</v>
      </c>
      <c r="D675">
        <v>35</v>
      </c>
      <c r="E675">
        <v>6</v>
      </c>
      <c r="F675" t="s">
        <v>883</v>
      </c>
      <c r="G675" t="s">
        <v>887</v>
      </c>
    </row>
    <row r="676" spans="2:7" hidden="1" x14ac:dyDescent="0.35">
      <c r="B676" t="s">
        <v>864</v>
      </c>
      <c r="C676">
        <v>145</v>
      </c>
      <c r="D676">
        <v>16</v>
      </c>
      <c r="E676">
        <v>3</v>
      </c>
      <c r="F676" t="s">
        <v>883</v>
      </c>
      <c r="G676" t="s">
        <v>887</v>
      </c>
    </row>
    <row r="677" spans="2:7" hidden="1" x14ac:dyDescent="0.35">
      <c r="B677" t="s">
        <v>867</v>
      </c>
      <c r="C677">
        <v>43</v>
      </c>
      <c r="D677">
        <v>17</v>
      </c>
      <c r="E677">
        <v>2</v>
      </c>
      <c r="F677" t="s">
        <v>883</v>
      </c>
      <c r="G677" t="s">
        <v>887</v>
      </c>
    </row>
    <row r="678" spans="2:7" hidden="1" x14ac:dyDescent="0.35">
      <c r="B678" t="s">
        <v>873</v>
      </c>
      <c r="C678">
        <v>97</v>
      </c>
      <c r="D678">
        <v>14</v>
      </c>
      <c r="E678">
        <v>2</v>
      </c>
      <c r="F678" t="s">
        <v>883</v>
      </c>
      <c r="G678" t="s">
        <v>887</v>
      </c>
    </row>
    <row r="679" spans="2:7" hidden="1" x14ac:dyDescent="0.35">
      <c r="B679" t="s">
        <v>877</v>
      </c>
      <c r="C679">
        <v>59</v>
      </c>
      <c r="D679">
        <v>15</v>
      </c>
      <c r="E679">
        <v>2</v>
      </c>
      <c r="F679" t="s">
        <v>883</v>
      </c>
      <c r="G679" t="s">
        <v>887</v>
      </c>
    </row>
    <row r="680" spans="2:7" hidden="1" x14ac:dyDescent="0.35">
      <c r="B680" t="s">
        <v>145</v>
      </c>
      <c r="C680">
        <v>34</v>
      </c>
      <c r="D680">
        <v>10</v>
      </c>
      <c r="E680">
        <v>2</v>
      </c>
      <c r="F680" t="s">
        <v>883</v>
      </c>
      <c r="G680" t="s">
        <v>887</v>
      </c>
    </row>
    <row r="681" spans="2:7" hidden="1" x14ac:dyDescent="0.35">
      <c r="B681" t="s">
        <v>363</v>
      </c>
      <c r="C681">
        <v>87</v>
      </c>
      <c r="D681">
        <v>4</v>
      </c>
      <c r="E681">
        <v>2</v>
      </c>
      <c r="F681" t="s">
        <v>883</v>
      </c>
      <c r="G681" t="s">
        <v>888</v>
      </c>
    </row>
    <row r="682" spans="2:7" hidden="1" x14ac:dyDescent="0.35">
      <c r="B682" t="s">
        <v>9</v>
      </c>
      <c r="C682">
        <v>117</v>
      </c>
      <c r="D682">
        <v>14</v>
      </c>
      <c r="E682">
        <v>3</v>
      </c>
      <c r="F682" t="s">
        <v>883</v>
      </c>
      <c r="G682" t="s">
        <v>888</v>
      </c>
    </row>
    <row r="683" spans="2:7" hidden="1" x14ac:dyDescent="0.35">
      <c r="B683" t="s">
        <v>441</v>
      </c>
      <c r="C683">
        <v>434</v>
      </c>
      <c r="D683">
        <v>26</v>
      </c>
      <c r="E683">
        <v>11</v>
      </c>
      <c r="F683" t="s">
        <v>883</v>
      </c>
      <c r="G683" t="s">
        <v>888</v>
      </c>
    </row>
    <row r="684" spans="2:7" hidden="1" x14ac:dyDescent="0.35">
      <c r="B684" t="s">
        <v>443</v>
      </c>
      <c r="C684">
        <v>37</v>
      </c>
      <c r="D684">
        <v>-23</v>
      </c>
      <c r="E684">
        <v>4</v>
      </c>
      <c r="F684" t="s">
        <v>883</v>
      </c>
      <c r="G684" t="s">
        <v>888</v>
      </c>
    </row>
    <row r="685" spans="2:7" hidden="1" x14ac:dyDescent="0.35">
      <c r="B685" t="s">
        <v>13</v>
      </c>
      <c r="C685">
        <v>49</v>
      </c>
      <c r="D685">
        <v>3</v>
      </c>
      <c r="E685">
        <v>1</v>
      </c>
      <c r="F685" t="s">
        <v>883</v>
      </c>
      <c r="G685" t="s">
        <v>888</v>
      </c>
    </row>
    <row r="686" spans="2:7" hidden="1" x14ac:dyDescent="0.35">
      <c r="B686" t="s">
        <v>479</v>
      </c>
      <c r="C686">
        <v>45</v>
      </c>
      <c r="D686">
        <v>-2</v>
      </c>
      <c r="E686">
        <v>4</v>
      </c>
      <c r="F686" t="s">
        <v>883</v>
      </c>
      <c r="G686" t="s">
        <v>888</v>
      </c>
    </row>
    <row r="687" spans="2:7" hidden="1" x14ac:dyDescent="0.35">
      <c r="B687" t="s">
        <v>481</v>
      </c>
      <c r="C687">
        <v>32</v>
      </c>
      <c r="D687">
        <v>6</v>
      </c>
      <c r="E687">
        <v>3</v>
      </c>
      <c r="F687" t="s">
        <v>883</v>
      </c>
      <c r="G687" t="s">
        <v>888</v>
      </c>
    </row>
    <row r="688" spans="2:7" hidden="1" x14ac:dyDescent="0.35">
      <c r="B688" t="s">
        <v>481</v>
      </c>
      <c r="C688">
        <v>79</v>
      </c>
      <c r="D688">
        <v>36</v>
      </c>
      <c r="E688">
        <v>4</v>
      </c>
      <c r="F688" t="s">
        <v>883</v>
      </c>
      <c r="G688" t="s">
        <v>888</v>
      </c>
    </row>
    <row r="689" spans="2:7" hidden="1" x14ac:dyDescent="0.35">
      <c r="B689" t="s">
        <v>484</v>
      </c>
      <c r="C689">
        <v>27</v>
      </c>
      <c r="D689">
        <v>-25</v>
      </c>
      <c r="E689">
        <v>2</v>
      </c>
      <c r="F689" t="s">
        <v>883</v>
      </c>
      <c r="G689" t="s">
        <v>888</v>
      </c>
    </row>
    <row r="690" spans="2:7" hidden="1" x14ac:dyDescent="0.35">
      <c r="B690" t="s">
        <v>23</v>
      </c>
      <c r="C690">
        <v>45</v>
      </c>
      <c r="D690">
        <v>-2</v>
      </c>
      <c r="E690">
        <v>4</v>
      </c>
      <c r="F690" t="s">
        <v>883</v>
      </c>
      <c r="G690" t="s">
        <v>888</v>
      </c>
    </row>
    <row r="691" spans="2:7" hidden="1" x14ac:dyDescent="0.35">
      <c r="B691" t="s">
        <v>492</v>
      </c>
      <c r="C691">
        <v>171</v>
      </c>
      <c r="D691">
        <v>14</v>
      </c>
      <c r="E691">
        <v>9</v>
      </c>
      <c r="F691" t="s">
        <v>883</v>
      </c>
      <c r="G691" t="s">
        <v>888</v>
      </c>
    </row>
    <row r="692" spans="2:7" hidden="1" x14ac:dyDescent="0.35">
      <c r="B692" t="s">
        <v>251</v>
      </c>
      <c r="C692">
        <v>129</v>
      </c>
      <c r="D692">
        <v>-75</v>
      </c>
      <c r="E692">
        <v>5</v>
      </c>
      <c r="F692" t="s">
        <v>883</v>
      </c>
      <c r="G692" t="s">
        <v>888</v>
      </c>
    </row>
    <row r="693" spans="2:7" hidden="1" x14ac:dyDescent="0.35">
      <c r="B693" t="s">
        <v>31</v>
      </c>
      <c r="C693">
        <v>33</v>
      </c>
      <c r="D693">
        <v>-29</v>
      </c>
      <c r="E693">
        <v>3</v>
      </c>
      <c r="F693" t="s">
        <v>883</v>
      </c>
      <c r="G693" t="s">
        <v>888</v>
      </c>
    </row>
    <row r="694" spans="2:7" hidden="1" x14ac:dyDescent="0.35">
      <c r="B694" t="s">
        <v>253</v>
      </c>
      <c r="C694">
        <v>75</v>
      </c>
      <c r="D694">
        <v>0</v>
      </c>
      <c r="E694">
        <v>3</v>
      </c>
      <c r="F694" t="s">
        <v>883</v>
      </c>
      <c r="G694" t="s">
        <v>888</v>
      </c>
    </row>
    <row r="695" spans="2:7" hidden="1" x14ac:dyDescent="0.35">
      <c r="B695" t="s">
        <v>33</v>
      </c>
      <c r="C695">
        <v>186</v>
      </c>
      <c r="D695">
        <v>-141</v>
      </c>
      <c r="E695">
        <v>9</v>
      </c>
      <c r="F695" t="s">
        <v>883</v>
      </c>
      <c r="G695" t="s">
        <v>888</v>
      </c>
    </row>
    <row r="696" spans="2:7" hidden="1" x14ac:dyDescent="0.35">
      <c r="B696" t="s">
        <v>508</v>
      </c>
      <c r="C696">
        <v>340</v>
      </c>
      <c r="D696">
        <v>20</v>
      </c>
      <c r="E696">
        <v>7</v>
      </c>
      <c r="F696" t="s">
        <v>883</v>
      </c>
      <c r="G696" t="s">
        <v>888</v>
      </c>
    </row>
    <row r="697" spans="2:7" hidden="1" x14ac:dyDescent="0.35">
      <c r="B697" t="s">
        <v>513</v>
      </c>
      <c r="C697">
        <v>90</v>
      </c>
      <c r="D697">
        <v>17</v>
      </c>
      <c r="E697">
        <v>3</v>
      </c>
      <c r="F697" t="s">
        <v>883</v>
      </c>
      <c r="G697" t="s">
        <v>888</v>
      </c>
    </row>
    <row r="698" spans="2:7" hidden="1" x14ac:dyDescent="0.35">
      <c r="B698" t="s">
        <v>517</v>
      </c>
      <c r="C698">
        <v>191</v>
      </c>
      <c r="D698">
        <v>51</v>
      </c>
      <c r="E698">
        <v>5</v>
      </c>
      <c r="F698" t="s">
        <v>883</v>
      </c>
      <c r="G698" t="s">
        <v>888</v>
      </c>
    </row>
    <row r="699" spans="2:7" hidden="1" x14ac:dyDescent="0.35">
      <c r="B699" t="s">
        <v>540</v>
      </c>
      <c r="C699">
        <v>141</v>
      </c>
      <c r="D699">
        <v>10</v>
      </c>
      <c r="E699">
        <v>4</v>
      </c>
      <c r="F699" t="s">
        <v>883</v>
      </c>
      <c r="G699" t="s">
        <v>888</v>
      </c>
    </row>
    <row r="700" spans="2:7" hidden="1" x14ac:dyDescent="0.35">
      <c r="B700" t="s">
        <v>51</v>
      </c>
      <c r="C700">
        <v>19</v>
      </c>
      <c r="D700">
        <v>-1</v>
      </c>
      <c r="E700">
        <v>1</v>
      </c>
      <c r="F700" t="s">
        <v>883</v>
      </c>
      <c r="G700" t="s">
        <v>888</v>
      </c>
    </row>
    <row r="701" spans="2:7" hidden="1" x14ac:dyDescent="0.35">
      <c r="B701" t="s">
        <v>272</v>
      </c>
      <c r="C701">
        <v>43</v>
      </c>
      <c r="D701">
        <v>21</v>
      </c>
      <c r="E701">
        <v>3</v>
      </c>
      <c r="F701" t="s">
        <v>883</v>
      </c>
      <c r="G701" t="s">
        <v>888</v>
      </c>
    </row>
    <row r="702" spans="2:7" hidden="1" x14ac:dyDescent="0.35">
      <c r="B702" t="s">
        <v>65</v>
      </c>
      <c r="C702">
        <v>21</v>
      </c>
      <c r="D702">
        <v>-17</v>
      </c>
      <c r="E702">
        <v>3</v>
      </c>
      <c r="F702" t="s">
        <v>883</v>
      </c>
      <c r="G702" t="s">
        <v>888</v>
      </c>
    </row>
    <row r="703" spans="2:7" hidden="1" x14ac:dyDescent="0.35">
      <c r="B703" t="s">
        <v>573</v>
      </c>
      <c r="C703">
        <v>40</v>
      </c>
      <c r="D703">
        <v>-12</v>
      </c>
      <c r="E703">
        <v>3</v>
      </c>
      <c r="F703" t="s">
        <v>883</v>
      </c>
      <c r="G703" t="s">
        <v>888</v>
      </c>
    </row>
    <row r="704" spans="2:7" hidden="1" x14ac:dyDescent="0.35">
      <c r="B704" t="s">
        <v>288</v>
      </c>
      <c r="C704">
        <v>23</v>
      </c>
      <c r="D704">
        <v>-3</v>
      </c>
      <c r="E704">
        <v>1</v>
      </c>
      <c r="F704" t="s">
        <v>883</v>
      </c>
      <c r="G704" t="s">
        <v>888</v>
      </c>
    </row>
    <row r="705" spans="2:7" hidden="1" x14ac:dyDescent="0.35">
      <c r="B705" t="s">
        <v>71</v>
      </c>
      <c r="C705">
        <v>137</v>
      </c>
      <c r="D705">
        <v>5</v>
      </c>
      <c r="E705">
        <v>5</v>
      </c>
      <c r="F705" t="s">
        <v>883</v>
      </c>
      <c r="G705" t="s">
        <v>888</v>
      </c>
    </row>
    <row r="706" spans="2:7" hidden="1" x14ac:dyDescent="0.35">
      <c r="B706" t="s">
        <v>597</v>
      </c>
      <c r="C706">
        <v>45</v>
      </c>
      <c r="D706">
        <v>6</v>
      </c>
      <c r="E706">
        <v>3</v>
      </c>
      <c r="F706" t="s">
        <v>883</v>
      </c>
      <c r="G706" t="s">
        <v>888</v>
      </c>
    </row>
    <row r="707" spans="2:7" hidden="1" x14ac:dyDescent="0.35">
      <c r="B707" t="s">
        <v>310</v>
      </c>
      <c r="C707">
        <v>82</v>
      </c>
      <c r="D707">
        <v>13</v>
      </c>
      <c r="E707">
        <v>2</v>
      </c>
      <c r="F707" t="s">
        <v>883</v>
      </c>
      <c r="G707" t="s">
        <v>888</v>
      </c>
    </row>
    <row r="708" spans="2:7" hidden="1" x14ac:dyDescent="0.35">
      <c r="B708" t="s">
        <v>647</v>
      </c>
      <c r="C708">
        <v>163</v>
      </c>
      <c r="D708">
        <v>26</v>
      </c>
      <c r="E708">
        <v>4</v>
      </c>
      <c r="F708" t="s">
        <v>883</v>
      </c>
      <c r="G708" t="s">
        <v>888</v>
      </c>
    </row>
    <row r="709" spans="2:7" hidden="1" x14ac:dyDescent="0.35">
      <c r="B709" t="s">
        <v>313</v>
      </c>
      <c r="C709">
        <v>57</v>
      </c>
      <c r="D709">
        <v>27</v>
      </c>
      <c r="E709">
        <v>2</v>
      </c>
      <c r="F709" t="s">
        <v>883</v>
      </c>
      <c r="G709" t="s">
        <v>888</v>
      </c>
    </row>
    <row r="710" spans="2:7" hidden="1" x14ac:dyDescent="0.35">
      <c r="B710" t="s">
        <v>102</v>
      </c>
      <c r="C710">
        <v>94</v>
      </c>
      <c r="D710">
        <v>27</v>
      </c>
      <c r="E710">
        <v>2</v>
      </c>
      <c r="F710" t="s">
        <v>883</v>
      </c>
      <c r="G710" t="s">
        <v>888</v>
      </c>
    </row>
    <row r="711" spans="2:7" hidden="1" x14ac:dyDescent="0.35">
      <c r="B711" t="s">
        <v>673</v>
      </c>
      <c r="C711">
        <v>107</v>
      </c>
      <c r="D711">
        <v>37</v>
      </c>
      <c r="E711">
        <v>3</v>
      </c>
      <c r="F711" t="s">
        <v>883</v>
      </c>
      <c r="G711" t="s">
        <v>888</v>
      </c>
    </row>
    <row r="712" spans="2:7" hidden="1" x14ac:dyDescent="0.35">
      <c r="B712" t="s">
        <v>675</v>
      </c>
      <c r="C712">
        <v>83</v>
      </c>
      <c r="D712">
        <v>6</v>
      </c>
      <c r="E712">
        <v>6</v>
      </c>
      <c r="F712" t="s">
        <v>883</v>
      </c>
      <c r="G712" t="s">
        <v>888</v>
      </c>
    </row>
    <row r="713" spans="2:7" hidden="1" x14ac:dyDescent="0.35">
      <c r="B713" t="s">
        <v>679</v>
      </c>
      <c r="C713">
        <v>139</v>
      </c>
      <c r="D713">
        <v>30</v>
      </c>
      <c r="E713">
        <v>3</v>
      </c>
      <c r="F713" t="s">
        <v>883</v>
      </c>
      <c r="G713" t="s">
        <v>888</v>
      </c>
    </row>
    <row r="714" spans="2:7" hidden="1" x14ac:dyDescent="0.35">
      <c r="B714" t="s">
        <v>680</v>
      </c>
      <c r="C714">
        <v>223</v>
      </c>
      <c r="D714">
        <v>62</v>
      </c>
      <c r="E714">
        <v>7</v>
      </c>
      <c r="F714" t="s">
        <v>883</v>
      </c>
      <c r="G714" t="s">
        <v>888</v>
      </c>
    </row>
    <row r="715" spans="2:7" hidden="1" x14ac:dyDescent="0.35">
      <c r="B715" t="s">
        <v>686</v>
      </c>
      <c r="C715">
        <v>191</v>
      </c>
      <c r="D715">
        <v>93</v>
      </c>
      <c r="E715">
        <v>4</v>
      </c>
      <c r="F715" t="s">
        <v>883</v>
      </c>
      <c r="G715" t="s">
        <v>888</v>
      </c>
    </row>
    <row r="716" spans="2:7" hidden="1" x14ac:dyDescent="0.35">
      <c r="B716" t="s">
        <v>108</v>
      </c>
      <c r="C716">
        <v>74</v>
      </c>
      <c r="D716">
        <v>33</v>
      </c>
      <c r="E716">
        <v>2</v>
      </c>
      <c r="F716" t="s">
        <v>883</v>
      </c>
      <c r="G716" t="s">
        <v>888</v>
      </c>
    </row>
    <row r="717" spans="2:7" hidden="1" x14ac:dyDescent="0.35">
      <c r="B717" t="s">
        <v>697</v>
      </c>
      <c r="C717">
        <v>125</v>
      </c>
      <c r="D717">
        <v>15</v>
      </c>
      <c r="E717">
        <v>5</v>
      </c>
      <c r="F717" t="s">
        <v>883</v>
      </c>
      <c r="G717" t="s">
        <v>888</v>
      </c>
    </row>
    <row r="718" spans="2:7" hidden="1" x14ac:dyDescent="0.35">
      <c r="B718" t="s">
        <v>697</v>
      </c>
      <c r="C718">
        <v>33</v>
      </c>
      <c r="D718">
        <v>1</v>
      </c>
      <c r="E718">
        <v>2</v>
      </c>
      <c r="F718" t="s">
        <v>883</v>
      </c>
      <c r="G718" t="s">
        <v>888</v>
      </c>
    </row>
    <row r="719" spans="2:7" hidden="1" x14ac:dyDescent="0.35">
      <c r="B719" t="s">
        <v>734</v>
      </c>
      <c r="C719">
        <v>177</v>
      </c>
      <c r="D719">
        <v>41</v>
      </c>
      <c r="E719">
        <v>4</v>
      </c>
      <c r="F719" t="s">
        <v>883</v>
      </c>
      <c r="G719" t="s">
        <v>888</v>
      </c>
    </row>
    <row r="720" spans="2:7" hidden="1" x14ac:dyDescent="0.35">
      <c r="B720" t="s">
        <v>118</v>
      </c>
      <c r="C720">
        <v>63</v>
      </c>
      <c r="D720">
        <v>14</v>
      </c>
      <c r="E720">
        <v>2</v>
      </c>
      <c r="F720" t="s">
        <v>883</v>
      </c>
      <c r="G720" t="s">
        <v>888</v>
      </c>
    </row>
    <row r="721" spans="2:7" hidden="1" x14ac:dyDescent="0.35">
      <c r="B721" t="s">
        <v>120</v>
      </c>
      <c r="C721">
        <v>261</v>
      </c>
      <c r="D721">
        <v>13</v>
      </c>
      <c r="E721">
        <v>6</v>
      </c>
      <c r="F721" t="s">
        <v>883</v>
      </c>
      <c r="G721" t="s">
        <v>888</v>
      </c>
    </row>
    <row r="722" spans="2:7" hidden="1" x14ac:dyDescent="0.35">
      <c r="B722" t="s">
        <v>745</v>
      </c>
      <c r="C722">
        <v>48</v>
      </c>
      <c r="D722">
        <v>11</v>
      </c>
      <c r="E722">
        <v>2</v>
      </c>
      <c r="F722" t="s">
        <v>883</v>
      </c>
      <c r="G722" t="s">
        <v>888</v>
      </c>
    </row>
    <row r="723" spans="2:7" hidden="1" x14ac:dyDescent="0.35">
      <c r="B723" t="s">
        <v>336</v>
      </c>
      <c r="C723">
        <v>89</v>
      </c>
      <c r="D723">
        <v>-37</v>
      </c>
      <c r="E723">
        <v>4</v>
      </c>
      <c r="F723" t="s">
        <v>883</v>
      </c>
      <c r="G723" t="s">
        <v>888</v>
      </c>
    </row>
    <row r="724" spans="2:7" hidden="1" x14ac:dyDescent="0.35">
      <c r="B724" t="s">
        <v>126</v>
      </c>
      <c r="C724">
        <v>132</v>
      </c>
      <c r="D724">
        <v>49</v>
      </c>
      <c r="E724">
        <v>3</v>
      </c>
      <c r="F724" t="s">
        <v>883</v>
      </c>
      <c r="G724" t="s">
        <v>888</v>
      </c>
    </row>
    <row r="725" spans="2:7" hidden="1" x14ac:dyDescent="0.35">
      <c r="B725" t="s">
        <v>750</v>
      </c>
      <c r="C725">
        <v>48</v>
      </c>
      <c r="D725">
        <v>16</v>
      </c>
      <c r="E725">
        <v>3</v>
      </c>
      <c r="F725" t="s">
        <v>883</v>
      </c>
      <c r="G725" t="s">
        <v>888</v>
      </c>
    </row>
    <row r="726" spans="2:7" hidden="1" x14ac:dyDescent="0.35">
      <c r="B726" t="s">
        <v>761</v>
      </c>
      <c r="C726">
        <v>79</v>
      </c>
      <c r="D726">
        <v>39</v>
      </c>
      <c r="E726">
        <v>2</v>
      </c>
      <c r="F726" t="s">
        <v>883</v>
      </c>
      <c r="G726" t="s">
        <v>888</v>
      </c>
    </row>
    <row r="727" spans="2:7" hidden="1" x14ac:dyDescent="0.35">
      <c r="B727" t="s">
        <v>132</v>
      </c>
      <c r="C727">
        <v>57</v>
      </c>
      <c r="D727">
        <v>27</v>
      </c>
      <c r="E727">
        <v>2</v>
      </c>
      <c r="F727" t="s">
        <v>883</v>
      </c>
      <c r="G727" t="s">
        <v>888</v>
      </c>
    </row>
    <row r="728" spans="2:7" hidden="1" x14ac:dyDescent="0.35">
      <c r="B728" t="s">
        <v>133</v>
      </c>
      <c r="C728">
        <v>108</v>
      </c>
      <c r="D728">
        <v>26</v>
      </c>
      <c r="E728">
        <v>4</v>
      </c>
      <c r="F728" t="s">
        <v>883</v>
      </c>
      <c r="G728" t="s">
        <v>888</v>
      </c>
    </row>
    <row r="729" spans="2:7" hidden="1" x14ac:dyDescent="0.35">
      <c r="B729" t="s">
        <v>135</v>
      </c>
      <c r="C729">
        <v>188</v>
      </c>
      <c r="D729">
        <v>13</v>
      </c>
      <c r="E729">
        <v>7</v>
      </c>
      <c r="F729" t="s">
        <v>883</v>
      </c>
      <c r="G729" t="s">
        <v>888</v>
      </c>
    </row>
    <row r="730" spans="2:7" hidden="1" x14ac:dyDescent="0.35">
      <c r="B730" t="s">
        <v>785</v>
      </c>
      <c r="C730">
        <v>141</v>
      </c>
      <c r="D730">
        <v>41</v>
      </c>
      <c r="E730">
        <v>3</v>
      </c>
      <c r="F730" t="s">
        <v>883</v>
      </c>
      <c r="G730" t="s">
        <v>888</v>
      </c>
    </row>
    <row r="731" spans="2:7" hidden="1" x14ac:dyDescent="0.35">
      <c r="B731" t="s">
        <v>792</v>
      </c>
      <c r="C731">
        <v>286</v>
      </c>
      <c r="D731">
        <v>140</v>
      </c>
      <c r="E731">
        <v>6</v>
      </c>
      <c r="F731" t="s">
        <v>883</v>
      </c>
      <c r="G731" t="s">
        <v>888</v>
      </c>
    </row>
    <row r="732" spans="2:7" hidden="1" x14ac:dyDescent="0.35">
      <c r="B732" t="s">
        <v>796</v>
      </c>
      <c r="C732">
        <v>223</v>
      </c>
      <c r="D732">
        <v>62</v>
      </c>
      <c r="E732">
        <v>7</v>
      </c>
      <c r="F732" t="s">
        <v>883</v>
      </c>
      <c r="G732" t="s">
        <v>888</v>
      </c>
    </row>
    <row r="733" spans="2:7" hidden="1" x14ac:dyDescent="0.35">
      <c r="B733" t="s">
        <v>811</v>
      </c>
      <c r="C733">
        <v>195</v>
      </c>
      <c r="D733">
        <v>12</v>
      </c>
      <c r="E733">
        <v>9</v>
      </c>
      <c r="F733" t="s">
        <v>883</v>
      </c>
      <c r="G733" t="s">
        <v>888</v>
      </c>
    </row>
    <row r="734" spans="2:7" hidden="1" x14ac:dyDescent="0.35">
      <c r="B734" t="s">
        <v>812</v>
      </c>
      <c r="C734">
        <v>85</v>
      </c>
      <c r="D734">
        <v>13</v>
      </c>
      <c r="E734">
        <v>2</v>
      </c>
      <c r="F734" t="s">
        <v>883</v>
      </c>
      <c r="G734" t="s">
        <v>888</v>
      </c>
    </row>
    <row r="735" spans="2:7" hidden="1" x14ac:dyDescent="0.35">
      <c r="B735" t="s">
        <v>817</v>
      </c>
      <c r="C735">
        <v>74</v>
      </c>
      <c r="D735">
        <v>9</v>
      </c>
      <c r="E735">
        <v>3</v>
      </c>
      <c r="F735" t="s">
        <v>883</v>
      </c>
      <c r="G735" t="s">
        <v>888</v>
      </c>
    </row>
    <row r="736" spans="2:7" hidden="1" x14ac:dyDescent="0.35">
      <c r="B736" t="s">
        <v>829</v>
      </c>
      <c r="C736">
        <v>77</v>
      </c>
      <c r="D736">
        <v>36</v>
      </c>
      <c r="E736">
        <v>2</v>
      </c>
      <c r="F736" t="s">
        <v>883</v>
      </c>
      <c r="G736" t="s">
        <v>888</v>
      </c>
    </row>
    <row r="737" spans="2:7" hidden="1" x14ac:dyDescent="0.35">
      <c r="B737" t="s">
        <v>223</v>
      </c>
      <c r="C737">
        <v>89</v>
      </c>
      <c r="D737">
        <v>36</v>
      </c>
      <c r="E737">
        <v>3</v>
      </c>
      <c r="F737" t="s">
        <v>883</v>
      </c>
      <c r="G737" t="s">
        <v>888</v>
      </c>
    </row>
    <row r="738" spans="2:7" hidden="1" x14ac:dyDescent="0.35">
      <c r="B738" t="s">
        <v>832</v>
      </c>
      <c r="C738">
        <v>111</v>
      </c>
      <c r="D738">
        <v>35</v>
      </c>
      <c r="E738">
        <v>5</v>
      </c>
      <c r="F738" t="s">
        <v>883</v>
      </c>
      <c r="G738" t="s">
        <v>888</v>
      </c>
    </row>
    <row r="739" spans="2:7" hidden="1" x14ac:dyDescent="0.35">
      <c r="B739" t="s">
        <v>835</v>
      </c>
      <c r="C739">
        <v>130</v>
      </c>
      <c r="D739">
        <v>61</v>
      </c>
      <c r="E739">
        <v>3</v>
      </c>
      <c r="F739" t="s">
        <v>883</v>
      </c>
      <c r="G739" t="s">
        <v>888</v>
      </c>
    </row>
    <row r="740" spans="2:7" hidden="1" x14ac:dyDescent="0.35">
      <c r="B740" t="s">
        <v>836</v>
      </c>
      <c r="C740">
        <v>83</v>
      </c>
      <c r="D740">
        <v>34</v>
      </c>
      <c r="E740">
        <v>5</v>
      </c>
      <c r="F740" t="s">
        <v>883</v>
      </c>
      <c r="G740" t="s">
        <v>888</v>
      </c>
    </row>
    <row r="741" spans="2:7" hidden="1" x14ac:dyDescent="0.35">
      <c r="B741" t="s">
        <v>843</v>
      </c>
      <c r="C741">
        <v>32</v>
      </c>
      <c r="D741">
        <v>6</v>
      </c>
      <c r="E741">
        <v>3</v>
      </c>
      <c r="F741" t="s">
        <v>883</v>
      </c>
      <c r="G741" t="s">
        <v>888</v>
      </c>
    </row>
    <row r="742" spans="2:7" hidden="1" x14ac:dyDescent="0.35">
      <c r="B742" t="s">
        <v>845</v>
      </c>
      <c r="C742">
        <v>15</v>
      </c>
      <c r="D742">
        <v>1</v>
      </c>
      <c r="E742">
        <v>1</v>
      </c>
      <c r="F742" t="s">
        <v>883</v>
      </c>
      <c r="G742" t="s">
        <v>888</v>
      </c>
    </row>
    <row r="743" spans="2:7" hidden="1" x14ac:dyDescent="0.35">
      <c r="B743" t="s">
        <v>345</v>
      </c>
      <c r="C743">
        <v>88</v>
      </c>
      <c r="D743">
        <v>19</v>
      </c>
      <c r="E743">
        <v>2</v>
      </c>
      <c r="F743" t="s">
        <v>883</v>
      </c>
      <c r="G743" t="s">
        <v>888</v>
      </c>
    </row>
    <row r="744" spans="2:7" hidden="1" x14ac:dyDescent="0.35">
      <c r="B744" t="s">
        <v>141</v>
      </c>
      <c r="C744">
        <v>213</v>
      </c>
      <c r="D744">
        <v>4</v>
      </c>
      <c r="E744">
        <v>14</v>
      </c>
      <c r="F744" t="s">
        <v>883</v>
      </c>
      <c r="G744" t="s">
        <v>888</v>
      </c>
    </row>
    <row r="745" spans="2:7" hidden="1" x14ac:dyDescent="0.35">
      <c r="B745" t="s">
        <v>141</v>
      </c>
      <c r="C745">
        <v>57</v>
      </c>
      <c r="D745">
        <v>7</v>
      </c>
      <c r="E745">
        <v>2</v>
      </c>
      <c r="F745" t="s">
        <v>883</v>
      </c>
      <c r="G745" t="s">
        <v>888</v>
      </c>
    </row>
    <row r="746" spans="2:7" hidden="1" x14ac:dyDescent="0.35">
      <c r="B746" t="s">
        <v>855</v>
      </c>
      <c r="C746">
        <v>54</v>
      </c>
      <c r="D746">
        <v>12</v>
      </c>
      <c r="E746">
        <v>4</v>
      </c>
      <c r="F746" t="s">
        <v>883</v>
      </c>
      <c r="G746" t="s">
        <v>888</v>
      </c>
    </row>
    <row r="747" spans="2:7" hidden="1" x14ac:dyDescent="0.35">
      <c r="B747" t="s">
        <v>189</v>
      </c>
      <c r="C747">
        <v>133</v>
      </c>
      <c r="D747">
        <v>46</v>
      </c>
      <c r="E747">
        <v>5</v>
      </c>
      <c r="F747" t="s">
        <v>883</v>
      </c>
      <c r="G747" t="s">
        <v>888</v>
      </c>
    </row>
    <row r="748" spans="2:7" hidden="1" x14ac:dyDescent="0.35">
      <c r="B748" t="s">
        <v>875</v>
      </c>
      <c r="C748">
        <v>140</v>
      </c>
      <c r="D748">
        <v>56</v>
      </c>
      <c r="E748">
        <v>4</v>
      </c>
      <c r="F748" t="s">
        <v>883</v>
      </c>
      <c r="G748" t="s">
        <v>888</v>
      </c>
    </row>
    <row r="749" spans="2:7" hidden="1" x14ac:dyDescent="0.35">
      <c r="B749" t="s">
        <v>145</v>
      </c>
      <c r="C749">
        <v>72</v>
      </c>
      <c r="D749">
        <v>16</v>
      </c>
      <c r="E749">
        <v>2</v>
      </c>
      <c r="F749" t="s">
        <v>883</v>
      </c>
      <c r="G749" t="s">
        <v>888</v>
      </c>
    </row>
    <row r="750" spans="2:7" hidden="1" x14ac:dyDescent="0.35">
      <c r="B750" t="s">
        <v>422</v>
      </c>
      <c r="C750">
        <v>45</v>
      </c>
      <c r="D750">
        <v>13</v>
      </c>
      <c r="E750">
        <v>4</v>
      </c>
      <c r="F750" t="s">
        <v>883</v>
      </c>
      <c r="G750" t="s">
        <v>889</v>
      </c>
    </row>
    <row r="751" spans="2:7" hidden="1" x14ac:dyDescent="0.35">
      <c r="B751" t="s">
        <v>435</v>
      </c>
      <c r="C751">
        <v>23</v>
      </c>
      <c r="D751">
        <v>2</v>
      </c>
      <c r="E751">
        <v>2</v>
      </c>
      <c r="F751" t="s">
        <v>883</v>
      </c>
      <c r="G751" t="s">
        <v>889</v>
      </c>
    </row>
    <row r="752" spans="2:7" hidden="1" x14ac:dyDescent="0.35">
      <c r="B752" t="s">
        <v>13</v>
      </c>
      <c r="C752">
        <v>11</v>
      </c>
      <c r="D752">
        <v>-4</v>
      </c>
      <c r="E752">
        <v>2</v>
      </c>
      <c r="F752" t="s">
        <v>883</v>
      </c>
      <c r="G752" t="s">
        <v>889</v>
      </c>
    </row>
    <row r="753" spans="2:7" hidden="1" x14ac:dyDescent="0.35">
      <c r="B753" t="s">
        <v>453</v>
      </c>
      <c r="C753">
        <v>24</v>
      </c>
      <c r="D753">
        <v>-21</v>
      </c>
      <c r="E753">
        <v>7</v>
      </c>
      <c r="F753" t="s">
        <v>883</v>
      </c>
      <c r="G753" t="s">
        <v>889</v>
      </c>
    </row>
    <row r="754" spans="2:7" hidden="1" x14ac:dyDescent="0.35">
      <c r="B754" t="s">
        <v>15</v>
      </c>
      <c r="C754">
        <v>9</v>
      </c>
      <c r="D754">
        <v>-6</v>
      </c>
      <c r="E754">
        <v>2</v>
      </c>
      <c r="F754" t="s">
        <v>883</v>
      </c>
      <c r="G754" t="s">
        <v>889</v>
      </c>
    </row>
    <row r="755" spans="2:7" hidden="1" x14ac:dyDescent="0.35">
      <c r="B755" t="s">
        <v>15</v>
      </c>
      <c r="C755">
        <v>74</v>
      </c>
      <c r="D755">
        <v>23</v>
      </c>
      <c r="E755">
        <v>8</v>
      </c>
      <c r="F755" t="s">
        <v>883</v>
      </c>
      <c r="G755" t="s">
        <v>889</v>
      </c>
    </row>
    <row r="756" spans="2:7" hidden="1" x14ac:dyDescent="0.35">
      <c r="B756" t="s">
        <v>199</v>
      </c>
      <c r="C756">
        <v>101</v>
      </c>
      <c r="D756">
        <v>18</v>
      </c>
      <c r="E756">
        <v>9</v>
      </c>
      <c r="F756" t="s">
        <v>883</v>
      </c>
      <c r="G756" t="s">
        <v>889</v>
      </c>
    </row>
    <row r="757" spans="2:7" hidden="1" x14ac:dyDescent="0.35">
      <c r="B757" t="s">
        <v>470</v>
      </c>
      <c r="C757">
        <v>41</v>
      </c>
      <c r="D757">
        <v>6</v>
      </c>
      <c r="E757">
        <v>5</v>
      </c>
      <c r="F757" t="s">
        <v>883</v>
      </c>
      <c r="G757" t="s">
        <v>889</v>
      </c>
    </row>
    <row r="758" spans="2:7" hidden="1" x14ac:dyDescent="0.35">
      <c r="B758" t="s">
        <v>200</v>
      </c>
      <c r="C758">
        <v>17</v>
      </c>
      <c r="D758">
        <v>-12</v>
      </c>
      <c r="E758">
        <v>5</v>
      </c>
      <c r="F758" t="s">
        <v>883</v>
      </c>
      <c r="G758" t="s">
        <v>889</v>
      </c>
    </row>
    <row r="759" spans="2:7" hidden="1" x14ac:dyDescent="0.35">
      <c r="B759" t="s">
        <v>484</v>
      </c>
      <c r="C759">
        <v>7</v>
      </c>
      <c r="D759">
        <v>-3</v>
      </c>
      <c r="E759">
        <v>2</v>
      </c>
      <c r="F759" t="s">
        <v>883</v>
      </c>
      <c r="G759" t="s">
        <v>889</v>
      </c>
    </row>
    <row r="760" spans="2:7" hidden="1" x14ac:dyDescent="0.35">
      <c r="B760" t="s">
        <v>27</v>
      </c>
      <c r="C760">
        <v>31</v>
      </c>
      <c r="D760">
        <v>10</v>
      </c>
      <c r="E760">
        <v>3</v>
      </c>
      <c r="F760" t="s">
        <v>883</v>
      </c>
      <c r="G760" t="s">
        <v>889</v>
      </c>
    </row>
    <row r="761" spans="2:7" hidden="1" x14ac:dyDescent="0.35">
      <c r="B761" t="s">
        <v>157</v>
      </c>
      <c r="C761">
        <v>13</v>
      </c>
      <c r="D761">
        <v>-13</v>
      </c>
      <c r="E761">
        <v>2</v>
      </c>
      <c r="F761" t="s">
        <v>883</v>
      </c>
      <c r="G761" t="s">
        <v>889</v>
      </c>
    </row>
    <row r="762" spans="2:7" hidden="1" x14ac:dyDescent="0.35">
      <c r="B762" t="s">
        <v>496</v>
      </c>
      <c r="C762">
        <v>4</v>
      </c>
      <c r="D762">
        <v>-3</v>
      </c>
      <c r="E762">
        <v>1</v>
      </c>
      <c r="F762" t="s">
        <v>883</v>
      </c>
      <c r="G762" t="s">
        <v>889</v>
      </c>
    </row>
    <row r="763" spans="2:7" hidden="1" x14ac:dyDescent="0.35">
      <c r="B763" t="s">
        <v>31</v>
      </c>
      <c r="C763">
        <v>10</v>
      </c>
      <c r="D763">
        <v>-8</v>
      </c>
      <c r="E763">
        <v>2</v>
      </c>
      <c r="F763" t="s">
        <v>883</v>
      </c>
      <c r="G763" t="s">
        <v>889</v>
      </c>
    </row>
    <row r="764" spans="2:7" hidden="1" x14ac:dyDescent="0.35">
      <c r="B764" t="s">
        <v>201</v>
      </c>
      <c r="C764">
        <v>25</v>
      </c>
      <c r="D764">
        <v>0</v>
      </c>
      <c r="E764">
        <v>4</v>
      </c>
      <c r="F764" t="s">
        <v>883</v>
      </c>
      <c r="G764" t="s">
        <v>889</v>
      </c>
    </row>
    <row r="765" spans="2:7" hidden="1" x14ac:dyDescent="0.35">
      <c r="B765" t="s">
        <v>517</v>
      </c>
      <c r="C765">
        <v>29</v>
      </c>
      <c r="D765">
        <v>-18</v>
      </c>
      <c r="E765">
        <v>7</v>
      </c>
      <c r="F765" t="s">
        <v>883</v>
      </c>
      <c r="G765" t="s">
        <v>889</v>
      </c>
    </row>
    <row r="766" spans="2:7" hidden="1" x14ac:dyDescent="0.35">
      <c r="B766" t="s">
        <v>529</v>
      </c>
      <c r="C766">
        <v>7</v>
      </c>
      <c r="D766">
        <v>-1</v>
      </c>
      <c r="E766">
        <v>2</v>
      </c>
      <c r="F766" t="s">
        <v>883</v>
      </c>
      <c r="G766" t="s">
        <v>889</v>
      </c>
    </row>
    <row r="767" spans="2:7" hidden="1" x14ac:dyDescent="0.35">
      <c r="B767" t="s">
        <v>266</v>
      </c>
      <c r="C767">
        <v>31</v>
      </c>
      <c r="D767">
        <v>-7</v>
      </c>
      <c r="E767">
        <v>5</v>
      </c>
      <c r="F767" t="s">
        <v>883</v>
      </c>
      <c r="G767" t="s">
        <v>889</v>
      </c>
    </row>
    <row r="768" spans="2:7" hidden="1" x14ac:dyDescent="0.35">
      <c r="B768" t="s">
        <v>268</v>
      </c>
      <c r="C768">
        <v>7</v>
      </c>
      <c r="D768">
        <v>0</v>
      </c>
      <c r="E768">
        <v>2</v>
      </c>
      <c r="F768" t="s">
        <v>883</v>
      </c>
      <c r="G768" t="s">
        <v>889</v>
      </c>
    </row>
    <row r="769" spans="2:7" hidden="1" x14ac:dyDescent="0.35">
      <c r="B769" t="s">
        <v>534</v>
      </c>
      <c r="C769">
        <v>11</v>
      </c>
      <c r="D769">
        <v>-8</v>
      </c>
      <c r="E769">
        <v>2</v>
      </c>
      <c r="F769" t="s">
        <v>883</v>
      </c>
      <c r="G769" t="s">
        <v>889</v>
      </c>
    </row>
    <row r="770" spans="2:7" hidden="1" x14ac:dyDescent="0.35">
      <c r="B770" t="s">
        <v>51</v>
      </c>
      <c r="C770">
        <v>42</v>
      </c>
      <c r="D770">
        <v>-15</v>
      </c>
      <c r="E770">
        <v>12</v>
      </c>
      <c r="F770" t="s">
        <v>883</v>
      </c>
      <c r="G770" t="s">
        <v>889</v>
      </c>
    </row>
    <row r="771" spans="2:7" hidden="1" x14ac:dyDescent="0.35">
      <c r="B771" t="s">
        <v>543</v>
      </c>
      <c r="C771">
        <v>19</v>
      </c>
      <c r="D771">
        <v>0</v>
      </c>
      <c r="E771">
        <v>3</v>
      </c>
      <c r="F771" t="s">
        <v>883</v>
      </c>
      <c r="G771" t="s">
        <v>889</v>
      </c>
    </row>
    <row r="772" spans="2:7" hidden="1" x14ac:dyDescent="0.35">
      <c r="B772" t="s">
        <v>543</v>
      </c>
      <c r="C772">
        <v>9</v>
      </c>
      <c r="D772">
        <v>-1</v>
      </c>
      <c r="E772">
        <v>3</v>
      </c>
      <c r="F772" t="s">
        <v>883</v>
      </c>
      <c r="G772" t="s">
        <v>889</v>
      </c>
    </row>
    <row r="773" spans="2:7" hidden="1" x14ac:dyDescent="0.35">
      <c r="B773" t="s">
        <v>55</v>
      </c>
      <c r="C773">
        <v>17</v>
      </c>
      <c r="D773">
        <v>-13</v>
      </c>
      <c r="E773">
        <v>4</v>
      </c>
      <c r="F773" t="s">
        <v>883</v>
      </c>
      <c r="G773" t="s">
        <v>889</v>
      </c>
    </row>
    <row r="774" spans="2:7" hidden="1" x14ac:dyDescent="0.35">
      <c r="B774" t="s">
        <v>55</v>
      </c>
      <c r="C774">
        <v>46</v>
      </c>
      <c r="D774">
        <v>14</v>
      </c>
      <c r="E774">
        <v>5</v>
      </c>
      <c r="F774" t="s">
        <v>883</v>
      </c>
      <c r="G774" t="s">
        <v>889</v>
      </c>
    </row>
    <row r="775" spans="2:7" hidden="1" x14ac:dyDescent="0.35">
      <c r="B775" t="s">
        <v>57</v>
      </c>
      <c r="C775">
        <v>27</v>
      </c>
      <c r="D775">
        <v>4</v>
      </c>
      <c r="E775">
        <v>3</v>
      </c>
      <c r="F775" t="s">
        <v>883</v>
      </c>
      <c r="G775" t="s">
        <v>889</v>
      </c>
    </row>
    <row r="776" spans="2:7" hidden="1" x14ac:dyDescent="0.35">
      <c r="B776" t="s">
        <v>572</v>
      </c>
      <c r="C776">
        <v>17</v>
      </c>
      <c r="D776">
        <v>-11</v>
      </c>
      <c r="E776">
        <v>3</v>
      </c>
      <c r="F776" t="s">
        <v>883</v>
      </c>
      <c r="G776" t="s">
        <v>889</v>
      </c>
    </row>
    <row r="777" spans="2:7" hidden="1" x14ac:dyDescent="0.35">
      <c r="B777" t="s">
        <v>67</v>
      </c>
      <c r="C777">
        <v>24</v>
      </c>
      <c r="D777">
        <v>-1</v>
      </c>
      <c r="E777">
        <v>4</v>
      </c>
      <c r="F777" t="s">
        <v>883</v>
      </c>
      <c r="G777" t="s">
        <v>889</v>
      </c>
    </row>
    <row r="778" spans="2:7" hidden="1" x14ac:dyDescent="0.35">
      <c r="B778" t="s">
        <v>288</v>
      </c>
      <c r="C778">
        <v>13</v>
      </c>
      <c r="D778">
        <v>-9</v>
      </c>
      <c r="E778">
        <v>2</v>
      </c>
      <c r="F778" t="s">
        <v>883</v>
      </c>
      <c r="G778" t="s">
        <v>889</v>
      </c>
    </row>
    <row r="779" spans="2:7" hidden="1" x14ac:dyDescent="0.35">
      <c r="B779" t="s">
        <v>611</v>
      </c>
      <c r="C779">
        <v>71</v>
      </c>
      <c r="D779">
        <v>0</v>
      </c>
      <c r="E779">
        <v>8</v>
      </c>
      <c r="F779" t="s">
        <v>883</v>
      </c>
      <c r="G779" t="s">
        <v>889</v>
      </c>
    </row>
    <row r="780" spans="2:7" hidden="1" x14ac:dyDescent="0.35">
      <c r="B780" t="s">
        <v>305</v>
      </c>
      <c r="C780">
        <v>22</v>
      </c>
      <c r="D780">
        <v>11</v>
      </c>
      <c r="E780">
        <v>2</v>
      </c>
      <c r="F780" t="s">
        <v>883</v>
      </c>
      <c r="G780" t="s">
        <v>889</v>
      </c>
    </row>
    <row r="781" spans="2:7" hidden="1" x14ac:dyDescent="0.35">
      <c r="B781" t="s">
        <v>307</v>
      </c>
      <c r="C781">
        <v>50</v>
      </c>
      <c r="D781">
        <v>7</v>
      </c>
      <c r="E781">
        <v>6</v>
      </c>
      <c r="F781" t="s">
        <v>883</v>
      </c>
      <c r="G781" t="s">
        <v>889</v>
      </c>
    </row>
    <row r="782" spans="2:7" hidden="1" x14ac:dyDescent="0.35">
      <c r="B782" t="s">
        <v>636</v>
      </c>
      <c r="C782">
        <v>39</v>
      </c>
      <c r="D782">
        <v>16</v>
      </c>
      <c r="E782">
        <v>6</v>
      </c>
      <c r="F782" t="s">
        <v>883</v>
      </c>
      <c r="G782" t="s">
        <v>889</v>
      </c>
    </row>
    <row r="783" spans="2:7" hidden="1" x14ac:dyDescent="0.35">
      <c r="B783" t="s">
        <v>309</v>
      </c>
      <c r="C783">
        <v>10</v>
      </c>
      <c r="D783">
        <v>2</v>
      </c>
      <c r="E783">
        <v>2</v>
      </c>
      <c r="F783" t="s">
        <v>883</v>
      </c>
      <c r="G783" t="s">
        <v>889</v>
      </c>
    </row>
    <row r="784" spans="2:7" hidden="1" x14ac:dyDescent="0.35">
      <c r="B784" t="s">
        <v>310</v>
      </c>
      <c r="C784">
        <v>29</v>
      </c>
      <c r="D784">
        <v>11</v>
      </c>
      <c r="E784">
        <v>4</v>
      </c>
      <c r="F784" t="s">
        <v>883</v>
      </c>
      <c r="G784" t="s">
        <v>889</v>
      </c>
    </row>
    <row r="785" spans="2:7" hidden="1" x14ac:dyDescent="0.35">
      <c r="B785" t="s">
        <v>310</v>
      </c>
      <c r="C785">
        <v>27</v>
      </c>
      <c r="D785">
        <v>5</v>
      </c>
      <c r="E785">
        <v>2</v>
      </c>
      <c r="F785" t="s">
        <v>883</v>
      </c>
      <c r="G785" t="s">
        <v>889</v>
      </c>
    </row>
    <row r="786" spans="2:7" hidden="1" x14ac:dyDescent="0.35">
      <c r="B786" t="s">
        <v>664</v>
      </c>
      <c r="C786">
        <v>24</v>
      </c>
      <c r="D786">
        <v>8</v>
      </c>
      <c r="E786">
        <v>2</v>
      </c>
      <c r="F786" t="s">
        <v>883</v>
      </c>
      <c r="G786" t="s">
        <v>889</v>
      </c>
    </row>
    <row r="787" spans="2:7" hidden="1" x14ac:dyDescent="0.35">
      <c r="B787" t="s">
        <v>321</v>
      </c>
      <c r="C787">
        <v>31</v>
      </c>
      <c r="D787">
        <v>11</v>
      </c>
      <c r="E787">
        <v>3</v>
      </c>
      <c r="F787" t="s">
        <v>883</v>
      </c>
      <c r="G787" t="s">
        <v>889</v>
      </c>
    </row>
    <row r="788" spans="2:7" hidden="1" x14ac:dyDescent="0.35">
      <c r="B788" t="s">
        <v>321</v>
      </c>
      <c r="C788">
        <v>23</v>
      </c>
      <c r="D788">
        <v>4</v>
      </c>
      <c r="E788">
        <v>2</v>
      </c>
      <c r="F788" t="s">
        <v>883</v>
      </c>
      <c r="G788" t="s">
        <v>889</v>
      </c>
    </row>
    <row r="789" spans="2:7" hidden="1" x14ac:dyDescent="0.35">
      <c r="B789" t="s">
        <v>687</v>
      </c>
      <c r="C789">
        <v>28</v>
      </c>
      <c r="D789">
        <v>6</v>
      </c>
      <c r="E789">
        <v>4</v>
      </c>
      <c r="F789" t="s">
        <v>883</v>
      </c>
      <c r="G789" t="s">
        <v>889</v>
      </c>
    </row>
    <row r="790" spans="2:7" hidden="1" x14ac:dyDescent="0.35">
      <c r="B790" t="s">
        <v>177</v>
      </c>
      <c r="C790">
        <v>12</v>
      </c>
      <c r="D790">
        <v>2</v>
      </c>
      <c r="E790">
        <v>2</v>
      </c>
      <c r="F790" t="s">
        <v>883</v>
      </c>
      <c r="G790" t="s">
        <v>889</v>
      </c>
    </row>
    <row r="791" spans="2:7" hidden="1" x14ac:dyDescent="0.35">
      <c r="B791" t="s">
        <v>705</v>
      </c>
      <c r="C791">
        <v>80</v>
      </c>
      <c r="D791">
        <v>26</v>
      </c>
      <c r="E791">
        <v>9</v>
      </c>
      <c r="F791" t="s">
        <v>883</v>
      </c>
      <c r="G791" t="s">
        <v>889</v>
      </c>
    </row>
    <row r="792" spans="2:7" hidden="1" x14ac:dyDescent="0.35">
      <c r="B792" t="s">
        <v>122</v>
      </c>
      <c r="C792">
        <v>87</v>
      </c>
      <c r="D792">
        <v>32</v>
      </c>
      <c r="E792">
        <v>9</v>
      </c>
      <c r="F792" t="s">
        <v>883</v>
      </c>
      <c r="G792" t="s">
        <v>889</v>
      </c>
    </row>
    <row r="793" spans="2:7" hidden="1" x14ac:dyDescent="0.35">
      <c r="B793" t="s">
        <v>218</v>
      </c>
      <c r="C793">
        <v>45</v>
      </c>
      <c r="D793">
        <v>8</v>
      </c>
      <c r="E793">
        <v>4</v>
      </c>
      <c r="F793" t="s">
        <v>883</v>
      </c>
      <c r="G793" t="s">
        <v>889</v>
      </c>
    </row>
    <row r="794" spans="2:7" hidden="1" x14ac:dyDescent="0.35">
      <c r="B794" t="s">
        <v>750</v>
      </c>
      <c r="C794">
        <v>26</v>
      </c>
      <c r="D794">
        <v>3</v>
      </c>
      <c r="E794">
        <v>3</v>
      </c>
      <c r="F794" t="s">
        <v>883</v>
      </c>
      <c r="G794" t="s">
        <v>889</v>
      </c>
    </row>
    <row r="795" spans="2:7" hidden="1" x14ac:dyDescent="0.35">
      <c r="B795" t="s">
        <v>750</v>
      </c>
      <c r="C795">
        <v>34</v>
      </c>
      <c r="D795">
        <v>10</v>
      </c>
      <c r="E795">
        <v>3</v>
      </c>
      <c r="F795" t="s">
        <v>883</v>
      </c>
      <c r="G795" t="s">
        <v>889</v>
      </c>
    </row>
    <row r="796" spans="2:7" hidden="1" x14ac:dyDescent="0.35">
      <c r="B796" t="s">
        <v>754</v>
      </c>
      <c r="C796">
        <v>17</v>
      </c>
      <c r="D796">
        <v>2</v>
      </c>
      <c r="E796">
        <v>2</v>
      </c>
      <c r="F796" t="s">
        <v>883</v>
      </c>
      <c r="G796" t="s">
        <v>889</v>
      </c>
    </row>
    <row r="797" spans="2:7" hidden="1" x14ac:dyDescent="0.35">
      <c r="B797" t="s">
        <v>765</v>
      </c>
      <c r="C797">
        <v>29</v>
      </c>
      <c r="D797">
        <v>2</v>
      </c>
      <c r="E797">
        <v>3</v>
      </c>
      <c r="F797" t="s">
        <v>883</v>
      </c>
      <c r="G797" t="s">
        <v>889</v>
      </c>
    </row>
    <row r="798" spans="2:7" hidden="1" x14ac:dyDescent="0.35">
      <c r="B798" t="s">
        <v>780</v>
      </c>
      <c r="C798">
        <v>79</v>
      </c>
      <c r="D798">
        <v>24</v>
      </c>
      <c r="E798">
        <v>9</v>
      </c>
      <c r="F798" t="s">
        <v>883</v>
      </c>
      <c r="G798" t="s">
        <v>889</v>
      </c>
    </row>
    <row r="799" spans="2:7" hidden="1" x14ac:dyDescent="0.35">
      <c r="B799" t="s">
        <v>792</v>
      </c>
      <c r="C799">
        <v>62</v>
      </c>
      <c r="D799">
        <v>6</v>
      </c>
      <c r="E799">
        <v>6</v>
      </c>
      <c r="F799" t="s">
        <v>883</v>
      </c>
      <c r="G799" t="s">
        <v>889</v>
      </c>
    </row>
    <row r="800" spans="2:7" hidden="1" x14ac:dyDescent="0.35">
      <c r="B800" t="s">
        <v>798</v>
      </c>
      <c r="C800">
        <v>43</v>
      </c>
      <c r="D800">
        <v>9</v>
      </c>
      <c r="E800">
        <v>4</v>
      </c>
      <c r="F800" t="s">
        <v>883</v>
      </c>
      <c r="G800" t="s">
        <v>889</v>
      </c>
    </row>
    <row r="801" spans="2:7" hidden="1" x14ac:dyDescent="0.35">
      <c r="B801" t="s">
        <v>799</v>
      </c>
      <c r="C801">
        <v>8</v>
      </c>
      <c r="D801">
        <v>2</v>
      </c>
      <c r="E801">
        <v>2</v>
      </c>
      <c r="F801" t="s">
        <v>883</v>
      </c>
      <c r="G801" t="s">
        <v>889</v>
      </c>
    </row>
    <row r="802" spans="2:7" hidden="1" x14ac:dyDescent="0.35">
      <c r="B802" t="s">
        <v>799</v>
      </c>
      <c r="C802">
        <v>50</v>
      </c>
      <c r="D802">
        <v>9</v>
      </c>
      <c r="E802">
        <v>6</v>
      </c>
      <c r="F802" t="s">
        <v>883</v>
      </c>
      <c r="G802" t="s">
        <v>889</v>
      </c>
    </row>
    <row r="803" spans="2:7" hidden="1" x14ac:dyDescent="0.35">
      <c r="B803" t="s">
        <v>183</v>
      </c>
      <c r="C803">
        <v>17</v>
      </c>
      <c r="D803">
        <v>2</v>
      </c>
      <c r="E803">
        <v>2</v>
      </c>
      <c r="F803" t="s">
        <v>883</v>
      </c>
      <c r="G803" t="s">
        <v>889</v>
      </c>
    </row>
    <row r="804" spans="2:7" hidden="1" x14ac:dyDescent="0.35">
      <c r="B804" t="s">
        <v>185</v>
      </c>
      <c r="C804">
        <v>29</v>
      </c>
      <c r="D804">
        <v>10</v>
      </c>
      <c r="E804">
        <v>3</v>
      </c>
      <c r="F804" t="s">
        <v>883</v>
      </c>
      <c r="G804" t="s">
        <v>889</v>
      </c>
    </row>
    <row r="805" spans="2:7" hidden="1" x14ac:dyDescent="0.35">
      <c r="B805" t="s">
        <v>223</v>
      </c>
      <c r="C805">
        <v>11</v>
      </c>
      <c r="D805">
        <v>5</v>
      </c>
      <c r="E805">
        <v>1</v>
      </c>
      <c r="F805" t="s">
        <v>883</v>
      </c>
      <c r="G805" t="s">
        <v>889</v>
      </c>
    </row>
    <row r="806" spans="2:7" hidden="1" x14ac:dyDescent="0.35">
      <c r="B806" t="s">
        <v>840</v>
      </c>
      <c r="C806">
        <v>30</v>
      </c>
      <c r="D806">
        <v>12</v>
      </c>
      <c r="E806">
        <v>3</v>
      </c>
      <c r="F806" t="s">
        <v>883</v>
      </c>
      <c r="G806" t="s">
        <v>889</v>
      </c>
    </row>
    <row r="807" spans="2:7" hidden="1" x14ac:dyDescent="0.35">
      <c r="B807" t="s">
        <v>841</v>
      </c>
      <c r="C807">
        <v>28</v>
      </c>
      <c r="D807">
        <v>10</v>
      </c>
      <c r="E807">
        <v>3</v>
      </c>
      <c r="F807" t="s">
        <v>883</v>
      </c>
      <c r="G807" t="s">
        <v>889</v>
      </c>
    </row>
    <row r="808" spans="2:7" hidden="1" x14ac:dyDescent="0.35">
      <c r="B808" t="s">
        <v>140</v>
      </c>
      <c r="C808">
        <v>55</v>
      </c>
      <c r="D808">
        <v>12</v>
      </c>
      <c r="E808">
        <v>5</v>
      </c>
      <c r="F808" t="s">
        <v>883</v>
      </c>
      <c r="G808" t="s">
        <v>889</v>
      </c>
    </row>
    <row r="809" spans="2:7" hidden="1" x14ac:dyDescent="0.35">
      <c r="B809" t="s">
        <v>846</v>
      </c>
      <c r="C809">
        <v>17</v>
      </c>
      <c r="D809">
        <v>1</v>
      </c>
      <c r="E809">
        <v>2</v>
      </c>
      <c r="F809" t="s">
        <v>883</v>
      </c>
      <c r="G809" t="s">
        <v>889</v>
      </c>
    </row>
    <row r="810" spans="2:7" hidden="1" x14ac:dyDescent="0.35">
      <c r="B810" t="s">
        <v>846</v>
      </c>
      <c r="C810">
        <v>27</v>
      </c>
      <c r="D810">
        <v>6</v>
      </c>
      <c r="E810">
        <v>3</v>
      </c>
      <c r="F810" t="s">
        <v>883</v>
      </c>
      <c r="G810" t="s">
        <v>889</v>
      </c>
    </row>
    <row r="811" spans="2:7" hidden="1" x14ac:dyDescent="0.35">
      <c r="B811" t="s">
        <v>859</v>
      </c>
      <c r="C811">
        <v>17</v>
      </c>
      <c r="D811">
        <v>8</v>
      </c>
      <c r="E811">
        <v>2</v>
      </c>
      <c r="F811" t="s">
        <v>883</v>
      </c>
      <c r="G811" t="s">
        <v>889</v>
      </c>
    </row>
    <row r="812" spans="2:7" hidden="1" x14ac:dyDescent="0.35">
      <c r="B812" t="s">
        <v>877</v>
      </c>
      <c r="C812">
        <v>46</v>
      </c>
      <c r="D812">
        <v>14</v>
      </c>
      <c r="E812">
        <v>5</v>
      </c>
      <c r="F812" t="s">
        <v>883</v>
      </c>
      <c r="G812" t="s">
        <v>889</v>
      </c>
    </row>
    <row r="813" spans="2:7" hidden="1" x14ac:dyDescent="0.35">
      <c r="B813" t="s">
        <v>350</v>
      </c>
      <c r="C813">
        <v>9</v>
      </c>
      <c r="D813">
        <v>3</v>
      </c>
      <c r="E813">
        <v>1</v>
      </c>
      <c r="F813" t="s">
        <v>883</v>
      </c>
      <c r="G813" t="s">
        <v>889</v>
      </c>
    </row>
    <row r="814" spans="2:7" hidden="1" x14ac:dyDescent="0.35">
      <c r="B814" t="s">
        <v>146</v>
      </c>
      <c r="C814">
        <v>1355</v>
      </c>
      <c r="D814">
        <v>-60</v>
      </c>
      <c r="E814">
        <v>5</v>
      </c>
      <c r="F814" t="s">
        <v>883</v>
      </c>
      <c r="G814" t="s">
        <v>890</v>
      </c>
    </row>
    <row r="815" spans="2:7" hidden="1" x14ac:dyDescent="0.35">
      <c r="B815" t="s">
        <v>146</v>
      </c>
      <c r="C815">
        <v>180</v>
      </c>
      <c r="D815">
        <v>5</v>
      </c>
      <c r="E815">
        <v>3</v>
      </c>
      <c r="F815" t="s">
        <v>883</v>
      </c>
      <c r="G815" t="s">
        <v>890</v>
      </c>
    </row>
    <row r="816" spans="2:7" hidden="1" x14ac:dyDescent="0.35">
      <c r="B816" t="s">
        <v>146</v>
      </c>
      <c r="C816">
        <v>38</v>
      </c>
      <c r="D816">
        <v>18</v>
      </c>
      <c r="E816">
        <v>1</v>
      </c>
      <c r="F816" t="s">
        <v>883</v>
      </c>
      <c r="G816" t="s">
        <v>891</v>
      </c>
    </row>
    <row r="817" spans="2:7" hidden="1" x14ac:dyDescent="0.35">
      <c r="B817" t="s">
        <v>367</v>
      </c>
      <c r="C817">
        <v>50</v>
      </c>
      <c r="D817">
        <v>15</v>
      </c>
      <c r="E817">
        <v>4</v>
      </c>
      <c r="F817" t="s">
        <v>883</v>
      </c>
      <c r="G817" t="s">
        <v>892</v>
      </c>
    </row>
    <row r="818" spans="2:7" hidden="1" x14ac:dyDescent="0.35">
      <c r="B818" t="s">
        <v>420</v>
      </c>
      <c r="C818">
        <v>59</v>
      </c>
      <c r="D818">
        <v>30</v>
      </c>
      <c r="E818">
        <v>3</v>
      </c>
      <c r="F818" t="s">
        <v>883</v>
      </c>
      <c r="G818" t="s">
        <v>892</v>
      </c>
    </row>
    <row r="819" spans="2:7" hidden="1" x14ac:dyDescent="0.35">
      <c r="B819" t="s">
        <v>424</v>
      </c>
      <c r="C819">
        <v>1560</v>
      </c>
      <c r="D819">
        <v>421</v>
      </c>
      <c r="E819">
        <v>3</v>
      </c>
      <c r="F819" t="s">
        <v>883</v>
      </c>
      <c r="G819" t="s">
        <v>890</v>
      </c>
    </row>
    <row r="820" spans="2:7" hidden="1" x14ac:dyDescent="0.35">
      <c r="B820" t="s">
        <v>426</v>
      </c>
      <c r="C820">
        <v>114</v>
      </c>
      <c r="D820">
        <v>-39</v>
      </c>
      <c r="E820">
        <v>5</v>
      </c>
      <c r="F820" t="s">
        <v>883</v>
      </c>
      <c r="G820" t="s">
        <v>891</v>
      </c>
    </row>
    <row r="821" spans="2:7" hidden="1" x14ac:dyDescent="0.35">
      <c r="B821" t="s">
        <v>426</v>
      </c>
      <c r="C821">
        <v>42</v>
      </c>
      <c r="D821">
        <v>-26</v>
      </c>
      <c r="E821">
        <v>2</v>
      </c>
      <c r="F821" t="s">
        <v>883</v>
      </c>
      <c r="G821" t="s">
        <v>891</v>
      </c>
    </row>
    <row r="822" spans="2:7" hidden="1" x14ac:dyDescent="0.35">
      <c r="B822" t="s">
        <v>430</v>
      </c>
      <c r="C822">
        <v>19</v>
      </c>
      <c r="D822">
        <v>-2</v>
      </c>
      <c r="E822">
        <v>2</v>
      </c>
      <c r="F822" t="s">
        <v>883</v>
      </c>
      <c r="G822" t="s">
        <v>892</v>
      </c>
    </row>
    <row r="823" spans="2:7" hidden="1" x14ac:dyDescent="0.35">
      <c r="B823" t="s">
        <v>432</v>
      </c>
      <c r="C823">
        <v>496</v>
      </c>
      <c r="D823">
        <v>-79</v>
      </c>
      <c r="E823">
        <v>2</v>
      </c>
      <c r="F823" t="s">
        <v>883</v>
      </c>
      <c r="G823" t="s">
        <v>890</v>
      </c>
    </row>
    <row r="824" spans="2:7" hidden="1" x14ac:dyDescent="0.35">
      <c r="B824" t="s">
        <v>437</v>
      </c>
      <c r="C824">
        <v>68</v>
      </c>
      <c r="D824">
        <v>-62</v>
      </c>
      <c r="E824">
        <v>2</v>
      </c>
      <c r="F824" t="s">
        <v>883</v>
      </c>
      <c r="G824" t="s">
        <v>890</v>
      </c>
    </row>
    <row r="825" spans="2:7" hidden="1" x14ac:dyDescent="0.35">
      <c r="B825" t="s">
        <v>235</v>
      </c>
      <c r="C825">
        <v>269</v>
      </c>
      <c r="D825">
        <v>111</v>
      </c>
      <c r="E825">
        <v>3</v>
      </c>
      <c r="F825" t="s">
        <v>883</v>
      </c>
      <c r="G825" t="s">
        <v>890</v>
      </c>
    </row>
    <row r="826" spans="2:7" hidden="1" x14ac:dyDescent="0.35">
      <c r="B826" t="s">
        <v>13</v>
      </c>
      <c r="C826">
        <v>7</v>
      </c>
      <c r="D826">
        <v>0</v>
      </c>
      <c r="E826">
        <v>1</v>
      </c>
      <c r="F826" t="s">
        <v>883</v>
      </c>
      <c r="G826" t="s">
        <v>892</v>
      </c>
    </row>
    <row r="827" spans="2:7" hidden="1" x14ac:dyDescent="0.35">
      <c r="B827" t="s">
        <v>453</v>
      </c>
      <c r="C827">
        <v>21</v>
      </c>
      <c r="D827">
        <v>-13</v>
      </c>
      <c r="E827">
        <v>3</v>
      </c>
      <c r="F827" t="s">
        <v>883</v>
      </c>
      <c r="G827" t="s">
        <v>892</v>
      </c>
    </row>
    <row r="828" spans="2:7" hidden="1" x14ac:dyDescent="0.35">
      <c r="B828" t="s">
        <v>453</v>
      </c>
      <c r="C828">
        <v>34</v>
      </c>
      <c r="D828">
        <v>-6</v>
      </c>
      <c r="E828">
        <v>4</v>
      </c>
      <c r="F828" t="s">
        <v>883</v>
      </c>
      <c r="G828" t="s">
        <v>892</v>
      </c>
    </row>
    <row r="829" spans="2:7" hidden="1" x14ac:dyDescent="0.35">
      <c r="B829" t="s">
        <v>15</v>
      </c>
      <c r="C829">
        <v>97</v>
      </c>
      <c r="D829">
        <v>-62</v>
      </c>
      <c r="E829">
        <v>2</v>
      </c>
      <c r="F829" t="s">
        <v>883</v>
      </c>
      <c r="G829" t="s">
        <v>890</v>
      </c>
    </row>
    <row r="830" spans="2:7" hidden="1" x14ac:dyDescent="0.35">
      <c r="B830" t="s">
        <v>476</v>
      </c>
      <c r="C830">
        <v>832</v>
      </c>
      <c r="D830">
        <v>0</v>
      </c>
      <c r="E830">
        <v>3</v>
      </c>
      <c r="F830" t="s">
        <v>883</v>
      </c>
      <c r="G830" t="s">
        <v>890</v>
      </c>
    </row>
    <row r="831" spans="2:7" hidden="1" x14ac:dyDescent="0.35">
      <c r="B831" t="s">
        <v>481</v>
      </c>
      <c r="C831">
        <v>1263</v>
      </c>
      <c r="D831">
        <v>-56</v>
      </c>
      <c r="E831">
        <v>5</v>
      </c>
      <c r="F831" t="s">
        <v>883</v>
      </c>
      <c r="G831" t="s">
        <v>890</v>
      </c>
    </row>
    <row r="832" spans="2:7" hidden="1" x14ac:dyDescent="0.35">
      <c r="B832" t="s">
        <v>21</v>
      </c>
      <c r="C832">
        <v>523</v>
      </c>
      <c r="D832">
        <v>204</v>
      </c>
      <c r="E832">
        <v>7</v>
      </c>
      <c r="F832" t="s">
        <v>883</v>
      </c>
      <c r="G832" t="s">
        <v>890</v>
      </c>
    </row>
    <row r="833" spans="2:7" hidden="1" x14ac:dyDescent="0.35">
      <c r="B833" t="s">
        <v>245</v>
      </c>
      <c r="C833">
        <v>14</v>
      </c>
      <c r="D833">
        <v>-1</v>
      </c>
      <c r="E833">
        <v>4</v>
      </c>
      <c r="F833" t="s">
        <v>883</v>
      </c>
      <c r="G833" t="s">
        <v>891</v>
      </c>
    </row>
    <row r="834" spans="2:7" hidden="1" x14ac:dyDescent="0.35">
      <c r="B834" t="s">
        <v>494</v>
      </c>
      <c r="C834">
        <v>44</v>
      </c>
      <c r="D834">
        <v>7</v>
      </c>
      <c r="E834">
        <v>3</v>
      </c>
      <c r="F834" t="s">
        <v>883</v>
      </c>
      <c r="G834" t="s">
        <v>891</v>
      </c>
    </row>
    <row r="835" spans="2:7" hidden="1" x14ac:dyDescent="0.35">
      <c r="B835" t="s">
        <v>496</v>
      </c>
      <c r="C835">
        <v>115</v>
      </c>
      <c r="D835">
        <v>-39</v>
      </c>
      <c r="E835">
        <v>3</v>
      </c>
      <c r="F835" t="s">
        <v>883</v>
      </c>
      <c r="G835" t="s">
        <v>890</v>
      </c>
    </row>
    <row r="836" spans="2:7" hidden="1" x14ac:dyDescent="0.35">
      <c r="B836" t="s">
        <v>498</v>
      </c>
      <c r="C836">
        <v>87</v>
      </c>
      <c r="D836">
        <v>-83</v>
      </c>
      <c r="E836">
        <v>5</v>
      </c>
      <c r="F836" t="s">
        <v>883</v>
      </c>
      <c r="G836" t="s">
        <v>891</v>
      </c>
    </row>
    <row r="837" spans="2:7" hidden="1" x14ac:dyDescent="0.35">
      <c r="B837" t="s">
        <v>500</v>
      </c>
      <c r="C837">
        <v>34</v>
      </c>
      <c r="D837">
        <v>-13</v>
      </c>
      <c r="E837">
        <v>5</v>
      </c>
      <c r="F837" t="s">
        <v>883</v>
      </c>
      <c r="G837" t="s">
        <v>892</v>
      </c>
    </row>
    <row r="838" spans="2:7" hidden="1" x14ac:dyDescent="0.35">
      <c r="B838" t="s">
        <v>33</v>
      </c>
      <c r="C838">
        <v>22</v>
      </c>
      <c r="D838">
        <v>-15</v>
      </c>
      <c r="E838">
        <v>4</v>
      </c>
      <c r="F838" t="s">
        <v>883</v>
      </c>
      <c r="G838" t="s">
        <v>891</v>
      </c>
    </row>
    <row r="839" spans="2:7" hidden="1" x14ac:dyDescent="0.35">
      <c r="B839" t="s">
        <v>201</v>
      </c>
      <c r="C839">
        <v>10</v>
      </c>
      <c r="D839">
        <v>-1</v>
      </c>
      <c r="E839">
        <v>1</v>
      </c>
      <c r="F839" t="s">
        <v>883</v>
      </c>
      <c r="G839" t="s">
        <v>892</v>
      </c>
    </row>
    <row r="840" spans="2:7" hidden="1" x14ac:dyDescent="0.35">
      <c r="B840" t="s">
        <v>260</v>
      </c>
      <c r="C840">
        <v>12</v>
      </c>
      <c r="D840">
        <v>-7</v>
      </c>
      <c r="E840">
        <v>2</v>
      </c>
      <c r="F840" t="s">
        <v>883</v>
      </c>
      <c r="G840" t="s">
        <v>892</v>
      </c>
    </row>
    <row r="841" spans="2:7" hidden="1" x14ac:dyDescent="0.35">
      <c r="B841" t="s">
        <v>43</v>
      </c>
      <c r="C841">
        <v>57</v>
      </c>
      <c r="D841">
        <v>-48</v>
      </c>
      <c r="E841">
        <v>6</v>
      </c>
      <c r="F841" t="s">
        <v>883</v>
      </c>
      <c r="G841" t="s">
        <v>892</v>
      </c>
    </row>
    <row r="842" spans="2:7" hidden="1" x14ac:dyDescent="0.35">
      <c r="B842" t="s">
        <v>43</v>
      </c>
      <c r="C842">
        <v>327</v>
      </c>
      <c r="D842">
        <v>114</v>
      </c>
      <c r="E842">
        <v>4</v>
      </c>
      <c r="F842" t="s">
        <v>883</v>
      </c>
      <c r="G842" t="s">
        <v>890</v>
      </c>
    </row>
    <row r="843" spans="2:7" hidden="1" x14ac:dyDescent="0.35">
      <c r="B843" t="s">
        <v>47</v>
      </c>
      <c r="C843">
        <v>187</v>
      </c>
      <c r="D843">
        <v>-15</v>
      </c>
      <c r="E843">
        <v>3</v>
      </c>
      <c r="F843" t="s">
        <v>883</v>
      </c>
      <c r="G843" t="s">
        <v>890</v>
      </c>
    </row>
    <row r="844" spans="2:7" hidden="1" x14ac:dyDescent="0.35">
      <c r="B844" t="s">
        <v>536</v>
      </c>
      <c r="C844">
        <v>503</v>
      </c>
      <c r="D844">
        <v>-56</v>
      </c>
      <c r="E844">
        <v>2</v>
      </c>
      <c r="F844" t="s">
        <v>883</v>
      </c>
      <c r="G844" t="s">
        <v>890</v>
      </c>
    </row>
    <row r="845" spans="2:7" hidden="1" x14ac:dyDescent="0.35">
      <c r="B845" t="s">
        <v>540</v>
      </c>
      <c r="C845">
        <v>8</v>
      </c>
      <c r="D845">
        <v>-1</v>
      </c>
      <c r="E845">
        <v>2</v>
      </c>
      <c r="F845" t="s">
        <v>883</v>
      </c>
      <c r="G845" t="s">
        <v>892</v>
      </c>
    </row>
    <row r="846" spans="2:7" hidden="1" x14ac:dyDescent="0.35">
      <c r="B846" t="s">
        <v>272</v>
      </c>
      <c r="C846">
        <v>10</v>
      </c>
      <c r="D846">
        <v>-8</v>
      </c>
      <c r="E846">
        <v>1</v>
      </c>
      <c r="F846" t="s">
        <v>883</v>
      </c>
      <c r="G846" t="s">
        <v>891</v>
      </c>
    </row>
    <row r="847" spans="2:7" hidden="1" x14ac:dyDescent="0.35">
      <c r="B847" t="s">
        <v>272</v>
      </c>
      <c r="C847">
        <v>14</v>
      </c>
      <c r="D847">
        <v>-3</v>
      </c>
      <c r="E847">
        <v>2</v>
      </c>
      <c r="F847" t="s">
        <v>883</v>
      </c>
      <c r="G847" t="s">
        <v>892</v>
      </c>
    </row>
    <row r="848" spans="2:7" hidden="1" x14ac:dyDescent="0.35">
      <c r="B848" t="s">
        <v>542</v>
      </c>
      <c r="C848">
        <v>62</v>
      </c>
      <c r="D848">
        <v>-56</v>
      </c>
      <c r="E848">
        <v>5</v>
      </c>
      <c r="F848" t="s">
        <v>883</v>
      </c>
      <c r="G848" t="s">
        <v>891</v>
      </c>
    </row>
    <row r="849" spans="2:7" hidden="1" x14ac:dyDescent="0.35">
      <c r="B849" t="s">
        <v>542</v>
      </c>
      <c r="C849">
        <v>341</v>
      </c>
      <c r="D849">
        <v>-85</v>
      </c>
      <c r="E849">
        <v>6</v>
      </c>
      <c r="F849" t="s">
        <v>883</v>
      </c>
      <c r="G849" t="s">
        <v>890</v>
      </c>
    </row>
    <row r="850" spans="2:7" hidden="1" x14ac:dyDescent="0.35">
      <c r="B850" t="s">
        <v>543</v>
      </c>
      <c r="C850">
        <v>72</v>
      </c>
      <c r="D850">
        <v>-46</v>
      </c>
      <c r="E850">
        <v>7</v>
      </c>
      <c r="F850" t="s">
        <v>883</v>
      </c>
      <c r="G850" t="s">
        <v>891</v>
      </c>
    </row>
    <row r="851" spans="2:7" hidden="1" x14ac:dyDescent="0.35">
      <c r="B851" t="s">
        <v>543</v>
      </c>
      <c r="C851">
        <v>41</v>
      </c>
      <c r="D851">
        <v>-14</v>
      </c>
      <c r="E851">
        <v>5</v>
      </c>
      <c r="F851" t="s">
        <v>883</v>
      </c>
      <c r="G851" t="s">
        <v>892</v>
      </c>
    </row>
    <row r="852" spans="2:7" hidden="1" x14ac:dyDescent="0.35">
      <c r="B852" t="s">
        <v>545</v>
      </c>
      <c r="C852">
        <v>1709</v>
      </c>
      <c r="D852">
        <v>564</v>
      </c>
      <c r="E852">
        <v>3</v>
      </c>
      <c r="F852" t="s">
        <v>883</v>
      </c>
      <c r="G852" t="s">
        <v>890</v>
      </c>
    </row>
    <row r="853" spans="2:7" hidden="1" x14ac:dyDescent="0.35">
      <c r="B853" t="s">
        <v>274</v>
      </c>
      <c r="C853">
        <v>29</v>
      </c>
      <c r="D853">
        <v>-24</v>
      </c>
      <c r="E853">
        <v>4</v>
      </c>
      <c r="F853" t="s">
        <v>883</v>
      </c>
      <c r="G853" t="s">
        <v>892</v>
      </c>
    </row>
    <row r="854" spans="2:7" hidden="1" x14ac:dyDescent="0.35">
      <c r="B854" t="s">
        <v>55</v>
      </c>
      <c r="C854">
        <v>3151</v>
      </c>
      <c r="D854">
        <v>-35</v>
      </c>
      <c r="E854">
        <v>7</v>
      </c>
      <c r="F854" t="s">
        <v>883</v>
      </c>
      <c r="G854" t="s">
        <v>890</v>
      </c>
    </row>
    <row r="855" spans="2:7" hidden="1" x14ac:dyDescent="0.35">
      <c r="B855" t="s">
        <v>207</v>
      </c>
      <c r="C855">
        <v>26</v>
      </c>
      <c r="D855">
        <v>0</v>
      </c>
      <c r="E855">
        <v>2</v>
      </c>
      <c r="F855" t="s">
        <v>883</v>
      </c>
      <c r="G855" t="s">
        <v>891</v>
      </c>
    </row>
    <row r="856" spans="2:7" hidden="1" x14ac:dyDescent="0.35">
      <c r="B856" t="s">
        <v>553</v>
      </c>
      <c r="C856">
        <v>9</v>
      </c>
      <c r="D856">
        <v>-9</v>
      </c>
      <c r="E856">
        <v>2</v>
      </c>
      <c r="F856" t="s">
        <v>883</v>
      </c>
      <c r="G856" t="s">
        <v>891</v>
      </c>
    </row>
    <row r="857" spans="2:7" hidden="1" x14ac:dyDescent="0.35">
      <c r="B857" t="s">
        <v>555</v>
      </c>
      <c r="C857">
        <v>1582</v>
      </c>
      <c r="D857">
        <v>-443</v>
      </c>
      <c r="E857">
        <v>6</v>
      </c>
      <c r="F857" t="s">
        <v>883</v>
      </c>
      <c r="G857" t="s">
        <v>890</v>
      </c>
    </row>
    <row r="858" spans="2:7" hidden="1" x14ac:dyDescent="0.35">
      <c r="B858" t="s">
        <v>280</v>
      </c>
      <c r="C858">
        <v>47</v>
      </c>
      <c r="D858">
        <v>-20</v>
      </c>
      <c r="E858">
        <v>2</v>
      </c>
      <c r="F858" t="s">
        <v>883</v>
      </c>
      <c r="G858" t="s">
        <v>891</v>
      </c>
    </row>
    <row r="859" spans="2:7" hidden="1" x14ac:dyDescent="0.35">
      <c r="B859" t="s">
        <v>61</v>
      </c>
      <c r="C859">
        <v>69</v>
      </c>
      <c r="D859">
        <v>-67</v>
      </c>
      <c r="E859">
        <v>4</v>
      </c>
      <c r="F859" t="s">
        <v>883</v>
      </c>
      <c r="G859" t="s">
        <v>891</v>
      </c>
    </row>
    <row r="860" spans="2:7" hidden="1" x14ac:dyDescent="0.35">
      <c r="B860" t="s">
        <v>61</v>
      </c>
      <c r="C860">
        <v>117</v>
      </c>
      <c r="D860">
        <v>17</v>
      </c>
      <c r="E860">
        <v>6</v>
      </c>
      <c r="F860" t="s">
        <v>883</v>
      </c>
      <c r="G860" t="s">
        <v>891</v>
      </c>
    </row>
    <row r="861" spans="2:7" hidden="1" x14ac:dyDescent="0.35">
      <c r="B861" t="s">
        <v>567</v>
      </c>
      <c r="C861">
        <v>767</v>
      </c>
      <c r="D861">
        <v>-353</v>
      </c>
      <c r="E861">
        <v>5</v>
      </c>
      <c r="F861" t="s">
        <v>883</v>
      </c>
      <c r="G861" t="s">
        <v>890</v>
      </c>
    </row>
    <row r="862" spans="2:7" hidden="1" x14ac:dyDescent="0.35">
      <c r="B862" t="s">
        <v>567</v>
      </c>
      <c r="C862">
        <v>25</v>
      </c>
      <c r="D862">
        <v>-1</v>
      </c>
      <c r="E862">
        <v>4</v>
      </c>
      <c r="F862" t="s">
        <v>883</v>
      </c>
      <c r="G862" t="s">
        <v>891</v>
      </c>
    </row>
    <row r="863" spans="2:7" hidden="1" x14ac:dyDescent="0.35">
      <c r="B863" t="s">
        <v>65</v>
      </c>
      <c r="C863">
        <v>33</v>
      </c>
      <c r="D863">
        <v>-10</v>
      </c>
      <c r="E863">
        <v>6</v>
      </c>
      <c r="F863" t="s">
        <v>883</v>
      </c>
      <c r="G863" t="s">
        <v>892</v>
      </c>
    </row>
    <row r="864" spans="2:7" hidden="1" x14ac:dyDescent="0.35">
      <c r="B864" t="s">
        <v>577</v>
      </c>
      <c r="C864">
        <v>30</v>
      </c>
      <c r="D864">
        <v>0</v>
      </c>
      <c r="E864">
        <v>1</v>
      </c>
      <c r="F864" t="s">
        <v>883</v>
      </c>
      <c r="G864" t="s">
        <v>891</v>
      </c>
    </row>
    <row r="865" spans="2:7" hidden="1" x14ac:dyDescent="0.35">
      <c r="B865" t="s">
        <v>67</v>
      </c>
      <c r="C865">
        <v>63</v>
      </c>
      <c r="D865">
        <v>-24</v>
      </c>
      <c r="E865">
        <v>6</v>
      </c>
      <c r="F865" t="s">
        <v>883</v>
      </c>
      <c r="G865" t="s">
        <v>891</v>
      </c>
    </row>
    <row r="866" spans="2:7" hidden="1" x14ac:dyDescent="0.35">
      <c r="B866" t="s">
        <v>286</v>
      </c>
      <c r="C866">
        <v>559</v>
      </c>
      <c r="D866">
        <v>-19</v>
      </c>
      <c r="E866">
        <v>2</v>
      </c>
      <c r="F866" t="s">
        <v>883</v>
      </c>
      <c r="G866" t="s">
        <v>890</v>
      </c>
    </row>
    <row r="867" spans="2:7" hidden="1" x14ac:dyDescent="0.35">
      <c r="B867" t="s">
        <v>209</v>
      </c>
      <c r="C867">
        <v>21</v>
      </c>
      <c r="D867">
        <v>-6</v>
      </c>
      <c r="E867">
        <v>3</v>
      </c>
      <c r="F867" t="s">
        <v>883</v>
      </c>
      <c r="G867" t="s">
        <v>892</v>
      </c>
    </row>
    <row r="868" spans="2:7" hidden="1" x14ac:dyDescent="0.35">
      <c r="B868" t="s">
        <v>166</v>
      </c>
      <c r="C868">
        <v>21</v>
      </c>
      <c r="D868">
        <v>-10</v>
      </c>
      <c r="E868">
        <v>4</v>
      </c>
      <c r="F868" t="s">
        <v>883</v>
      </c>
      <c r="G868" t="s">
        <v>892</v>
      </c>
    </row>
    <row r="869" spans="2:7" hidden="1" x14ac:dyDescent="0.35">
      <c r="B869" t="s">
        <v>71</v>
      </c>
      <c r="C869">
        <v>106</v>
      </c>
      <c r="D869">
        <v>12</v>
      </c>
      <c r="E869">
        <v>3</v>
      </c>
      <c r="F869" t="s">
        <v>883</v>
      </c>
      <c r="G869" t="s">
        <v>890</v>
      </c>
    </row>
    <row r="870" spans="2:7" hidden="1" x14ac:dyDescent="0.35">
      <c r="B870" t="s">
        <v>71</v>
      </c>
      <c r="C870">
        <v>536</v>
      </c>
      <c r="D870">
        <v>91</v>
      </c>
      <c r="E870">
        <v>1</v>
      </c>
      <c r="F870" t="s">
        <v>883</v>
      </c>
      <c r="G870" t="s">
        <v>890</v>
      </c>
    </row>
    <row r="871" spans="2:7" hidden="1" x14ac:dyDescent="0.35">
      <c r="B871" t="s">
        <v>593</v>
      </c>
      <c r="C871">
        <v>63</v>
      </c>
      <c r="D871">
        <v>17</v>
      </c>
      <c r="E871">
        <v>6</v>
      </c>
      <c r="F871" t="s">
        <v>883</v>
      </c>
      <c r="G871" t="s">
        <v>892</v>
      </c>
    </row>
    <row r="872" spans="2:7" hidden="1" x14ac:dyDescent="0.35">
      <c r="B872" t="s">
        <v>79</v>
      </c>
      <c r="C872">
        <v>36</v>
      </c>
      <c r="D872">
        <v>0</v>
      </c>
      <c r="E872">
        <v>4</v>
      </c>
      <c r="F872" t="s">
        <v>883</v>
      </c>
      <c r="G872" t="s">
        <v>891</v>
      </c>
    </row>
    <row r="873" spans="2:7" hidden="1" x14ac:dyDescent="0.35">
      <c r="B873" t="s">
        <v>79</v>
      </c>
      <c r="C873">
        <v>32</v>
      </c>
      <c r="D873">
        <v>11</v>
      </c>
      <c r="E873">
        <v>2</v>
      </c>
      <c r="F873" t="s">
        <v>883</v>
      </c>
      <c r="G873" t="s">
        <v>892</v>
      </c>
    </row>
    <row r="874" spans="2:7" hidden="1" x14ac:dyDescent="0.35">
      <c r="B874" t="s">
        <v>607</v>
      </c>
      <c r="C874">
        <v>15</v>
      </c>
      <c r="D874">
        <v>2</v>
      </c>
      <c r="E874">
        <v>1</v>
      </c>
      <c r="F874" t="s">
        <v>883</v>
      </c>
      <c r="G874" t="s">
        <v>892</v>
      </c>
    </row>
    <row r="875" spans="2:7" hidden="1" x14ac:dyDescent="0.35">
      <c r="B875" t="s">
        <v>616</v>
      </c>
      <c r="C875">
        <v>52</v>
      </c>
      <c r="D875">
        <v>11</v>
      </c>
      <c r="E875">
        <v>5</v>
      </c>
      <c r="F875" t="s">
        <v>883</v>
      </c>
      <c r="G875" t="s">
        <v>892</v>
      </c>
    </row>
    <row r="876" spans="2:7" hidden="1" x14ac:dyDescent="0.35">
      <c r="B876" t="s">
        <v>616</v>
      </c>
      <c r="C876">
        <v>27</v>
      </c>
      <c r="D876">
        <v>2</v>
      </c>
      <c r="E876">
        <v>2</v>
      </c>
      <c r="F876" t="s">
        <v>883</v>
      </c>
      <c r="G876" t="s">
        <v>892</v>
      </c>
    </row>
    <row r="877" spans="2:7" hidden="1" x14ac:dyDescent="0.35">
      <c r="B877" t="s">
        <v>622</v>
      </c>
      <c r="C877">
        <v>82</v>
      </c>
      <c r="D877">
        <v>33</v>
      </c>
      <c r="E877">
        <v>4</v>
      </c>
      <c r="F877" t="s">
        <v>883</v>
      </c>
      <c r="G877" t="s">
        <v>891</v>
      </c>
    </row>
    <row r="878" spans="2:7" hidden="1" x14ac:dyDescent="0.35">
      <c r="B878" t="s">
        <v>624</v>
      </c>
      <c r="C878">
        <v>94</v>
      </c>
      <c r="D878">
        <v>7</v>
      </c>
      <c r="E878">
        <v>7</v>
      </c>
      <c r="F878" t="s">
        <v>883</v>
      </c>
      <c r="G878" t="s">
        <v>892</v>
      </c>
    </row>
    <row r="879" spans="2:7" hidden="1" x14ac:dyDescent="0.35">
      <c r="B879" t="s">
        <v>631</v>
      </c>
      <c r="C879">
        <v>52</v>
      </c>
      <c r="D879">
        <v>18</v>
      </c>
      <c r="E879">
        <v>5</v>
      </c>
      <c r="F879" t="s">
        <v>883</v>
      </c>
      <c r="G879" t="s">
        <v>892</v>
      </c>
    </row>
    <row r="880" spans="2:7" hidden="1" x14ac:dyDescent="0.35">
      <c r="B880" t="s">
        <v>631</v>
      </c>
      <c r="C880">
        <v>117</v>
      </c>
      <c r="D880">
        <v>36</v>
      </c>
      <c r="E880">
        <v>2</v>
      </c>
      <c r="F880" t="s">
        <v>883</v>
      </c>
      <c r="G880" t="s">
        <v>890</v>
      </c>
    </row>
    <row r="881" spans="2:7" hidden="1" x14ac:dyDescent="0.35">
      <c r="B881" t="s">
        <v>632</v>
      </c>
      <c r="C881">
        <v>135</v>
      </c>
      <c r="D881">
        <v>54</v>
      </c>
      <c r="E881">
        <v>5</v>
      </c>
      <c r="F881" t="s">
        <v>883</v>
      </c>
      <c r="G881" t="s">
        <v>891</v>
      </c>
    </row>
    <row r="882" spans="2:7" hidden="1" x14ac:dyDescent="0.35">
      <c r="B882" t="s">
        <v>634</v>
      </c>
      <c r="C882">
        <v>105</v>
      </c>
      <c r="D882">
        <v>33</v>
      </c>
      <c r="E882">
        <v>5</v>
      </c>
      <c r="F882" t="s">
        <v>883</v>
      </c>
      <c r="G882" t="s">
        <v>891</v>
      </c>
    </row>
    <row r="883" spans="2:7" hidden="1" x14ac:dyDescent="0.35">
      <c r="B883" t="s">
        <v>638</v>
      </c>
      <c r="C883">
        <v>112</v>
      </c>
      <c r="D883">
        <v>24</v>
      </c>
      <c r="E883">
        <v>3</v>
      </c>
      <c r="F883" t="s">
        <v>883</v>
      </c>
      <c r="G883" t="s">
        <v>891</v>
      </c>
    </row>
    <row r="884" spans="2:7" hidden="1" x14ac:dyDescent="0.35">
      <c r="B884" t="s">
        <v>311</v>
      </c>
      <c r="C884">
        <v>22</v>
      </c>
      <c r="D884">
        <v>8</v>
      </c>
      <c r="E884">
        <v>2</v>
      </c>
      <c r="F884" t="s">
        <v>883</v>
      </c>
      <c r="G884" t="s">
        <v>892</v>
      </c>
    </row>
    <row r="885" spans="2:7" hidden="1" x14ac:dyDescent="0.35">
      <c r="B885" t="s">
        <v>647</v>
      </c>
      <c r="C885">
        <v>240</v>
      </c>
      <c r="D885">
        <v>12</v>
      </c>
      <c r="E885">
        <v>6</v>
      </c>
      <c r="F885" t="s">
        <v>883</v>
      </c>
      <c r="G885" t="s">
        <v>891</v>
      </c>
    </row>
    <row r="886" spans="2:7" hidden="1" x14ac:dyDescent="0.35">
      <c r="B886" t="s">
        <v>652</v>
      </c>
      <c r="C886">
        <v>10</v>
      </c>
      <c r="D886">
        <v>4</v>
      </c>
      <c r="E886">
        <v>1</v>
      </c>
      <c r="F886" t="s">
        <v>883</v>
      </c>
      <c r="G886" t="s">
        <v>891</v>
      </c>
    </row>
    <row r="887" spans="2:7" hidden="1" x14ac:dyDescent="0.35">
      <c r="B887" t="s">
        <v>99</v>
      </c>
      <c r="C887">
        <v>42</v>
      </c>
      <c r="D887">
        <v>12</v>
      </c>
      <c r="E887">
        <v>2</v>
      </c>
      <c r="F887" t="s">
        <v>883</v>
      </c>
      <c r="G887" t="s">
        <v>891</v>
      </c>
    </row>
    <row r="888" spans="2:7" hidden="1" x14ac:dyDescent="0.35">
      <c r="B888" t="s">
        <v>661</v>
      </c>
      <c r="C888">
        <v>282</v>
      </c>
      <c r="D888">
        <v>14</v>
      </c>
      <c r="E888">
        <v>4</v>
      </c>
      <c r="F888" t="s">
        <v>883</v>
      </c>
      <c r="G888" t="s">
        <v>890</v>
      </c>
    </row>
    <row r="889" spans="2:7" hidden="1" x14ac:dyDescent="0.35">
      <c r="B889" t="s">
        <v>664</v>
      </c>
      <c r="C889">
        <v>1137</v>
      </c>
      <c r="D889">
        <v>568</v>
      </c>
      <c r="E889">
        <v>2</v>
      </c>
      <c r="F889" t="s">
        <v>883</v>
      </c>
      <c r="G889" t="s">
        <v>890</v>
      </c>
    </row>
    <row r="890" spans="2:7" hidden="1" x14ac:dyDescent="0.35">
      <c r="B890" t="s">
        <v>315</v>
      </c>
      <c r="C890">
        <v>46</v>
      </c>
      <c r="D890">
        <v>0</v>
      </c>
      <c r="E890">
        <v>4</v>
      </c>
      <c r="F890" t="s">
        <v>883</v>
      </c>
      <c r="G890" t="s">
        <v>892</v>
      </c>
    </row>
    <row r="891" spans="2:7" hidden="1" x14ac:dyDescent="0.35">
      <c r="B891" t="s">
        <v>101</v>
      </c>
      <c r="C891">
        <v>57</v>
      </c>
      <c r="D891">
        <v>28</v>
      </c>
      <c r="E891">
        <v>2</v>
      </c>
      <c r="F891" t="s">
        <v>883</v>
      </c>
      <c r="G891" t="s">
        <v>891</v>
      </c>
    </row>
    <row r="892" spans="2:7" hidden="1" x14ac:dyDescent="0.35">
      <c r="B892" t="s">
        <v>668</v>
      </c>
      <c r="C892">
        <v>26</v>
      </c>
      <c r="D892">
        <v>9</v>
      </c>
      <c r="E892">
        <v>2</v>
      </c>
      <c r="F892" t="s">
        <v>883</v>
      </c>
      <c r="G892" t="s">
        <v>892</v>
      </c>
    </row>
    <row r="893" spans="2:7" hidden="1" x14ac:dyDescent="0.35">
      <c r="B893" t="s">
        <v>668</v>
      </c>
      <c r="C893">
        <v>2244</v>
      </c>
      <c r="D893">
        <v>247</v>
      </c>
      <c r="E893">
        <v>4</v>
      </c>
      <c r="F893" t="s">
        <v>883</v>
      </c>
      <c r="G893" t="s">
        <v>890</v>
      </c>
    </row>
    <row r="894" spans="2:7" hidden="1" x14ac:dyDescent="0.35">
      <c r="B894" t="s">
        <v>668</v>
      </c>
      <c r="C894">
        <v>36</v>
      </c>
      <c r="D894">
        <v>7</v>
      </c>
      <c r="E894">
        <v>3</v>
      </c>
      <c r="F894" t="s">
        <v>883</v>
      </c>
      <c r="G894" t="s">
        <v>892</v>
      </c>
    </row>
    <row r="895" spans="2:7" hidden="1" x14ac:dyDescent="0.35">
      <c r="B895" t="s">
        <v>671</v>
      </c>
      <c r="C895">
        <v>105</v>
      </c>
      <c r="D895">
        <v>26</v>
      </c>
      <c r="E895">
        <v>8</v>
      </c>
      <c r="F895" t="s">
        <v>883</v>
      </c>
      <c r="G895" t="s">
        <v>892</v>
      </c>
    </row>
    <row r="896" spans="2:7" hidden="1" x14ac:dyDescent="0.35">
      <c r="B896" t="s">
        <v>671</v>
      </c>
      <c r="C896">
        <v>10</v>
      </c>
      <c r="D896">
        <v>-2</v>
      </c>
      <c r="E896">
        <v>2</v>
      </c>
      <c r="F896" t="s">
        <v>883</v>
      </c>
      <c r="G896" t="s">
        <v>892</v>
      </c>
    </row>
    <row r="897" spans="2:7" hidden="1" x14ac:dyDescent="0.35">
      <c r="B897" t="s">
        <v>678</v>
      </c>
      <c r="C897">
        <v>31</v>
      </c>
      <c r="D897">
        <v>10</v>
      </c>
      <c r="E897">
        <v>1</v>
      </c>
      <c r="F897" t="s">
        <v>883</v>
      </c>
      <c r="G897" t="s">
        <v>891</v>
      </c>
    </row>
    <row r="898" spans="2:7" hidden="1" x14ac:dyDescent="0.35">
      <c r="B898" t="s">
        <v>678</v>
      </c>
      <c r="C898">
        <v>119</v>
      </c>
      <c r="D898">
        <v>43</v>
      </c>
      <c r="E898">
        <v>7</v>
      </c>
      <c r="F898" t="s">
        <v>883</v>
      </c>
      <c r="G898" t="s">
        <v>891</v>
      </c>
    </row>
    <row r="899" spans="2:7" hidden="1" x14ac:dyDescent="0.35">
      <c r="B899" t="s">
        <v>680</v>
      </c>
      <c r="C899">
        <v>61</v>
      </c>
      <c r="D899">
        <v>11</v>
      </c>
      <c r="E899">
        <v>3</v>
      </c>
      <c r="F899" t="s">
        <v>883</v>
      </c>
      <c r="G899" t="s">
        <v>891</v>
      </c>
    </row>
    <row r="900" spans="2:7" hidden="1" x14ac:dyDescent="0.35">
      <c r="B900" t="s">
        <v>321</v>
      </c>
      <c r="C900">
        <v>42</v>
      </c>
      <c r="D900">
        <v>7</v>
      </c>
      <c r="E900">
        <v>2</v>
      </c>
      <c r="F900" t="s">
        <v>883</v>
      </c>
      <c r="G900" t="s">
        <v>891</v>
      </c>
    </row>
    <row r="901" spans="2:7" hidden="1" x14ac:dyDescent="0.35">
      <c r="B901" t="s">
        <v>321</v>
      </c>
      <c r="C901">
        <v>287</v>
      </c>
      <c r="D901">
        <v>66</v>
      </c>
      <c r="E901">
        <v>6</v>
      </c>
      <c r="F901" t="s">
        <v>883</v>
      </c>
      <c r="G901" t="s">
        <v>891</v>
      </c>
    </row>
    <row r="902" spans="2:7" hidden="1" x14ac:dyDescent="0.35">
      <c r="B902" t="s">
        <v>686</v>
      </c>
      <c r="C902">
        <v>33</v>
      </c>
      <c r="D902">
        <v>13</v>
      </c>
      <c r="E902">
        <v>3</v>
      </c>
      <c r="F902" t="s">
        <v>883</v>
      </c>
      <c r="G902" t="s">
        <v>892</v>
      </c>
    </row>
    <row r="903" spans="2:7" hidden="1" x14ac:dyDescent="0.35">
      <c r="B903" t="s">
        <v>687</v>
      </c>
      <c r="C903">
        <v>22</v>
      </c>
      <c r="D903">
        <v>9</v>
      </c>
      <c r="E903">
        <v>2</v>
      </c>
      <c r="F903" t="s">
        <v>883</v>
      </c>
      <c r="G903" t="s">
        <v>892</v>
      </c>
    </row>
    <row r="904" spans="2:7" hidden="1" x14ac:dyDescent="0.35">
      <c r="B904" t="s">
        <v>689</v>
      </c>
      <c r="C904">
        <v>15</v>
      </c>
      <c r="D904">
        <v>2</v>
      </c>
      <c r="E904">
        <v>1</v>
      </c>
      <c r="F904" t="s">
        <v>883</v>
      </c>
      <c r="G904" t="s">
        <v>892</v>
      </c>
    </row>
    <row r="905" spans="2:7" hidden="1" x14ac:dyDescent="0.35">
      <c r="B905" t="s">
        <v>323</v>
      </c>
      <c r="C905">
        <v>1700</v>
      </c>
      <c r="D905">
        <v>85</v>
      </c>
      <c r="E905">
        <v>3</v>
      </c>
      <c r="F905" t="s">
        <v>883</v>
      </c>
      <c r="G905" t="s">
        <v>890</v>
      </c>
    </row>
    <row r="906" spans="2:7" hidden="1" x14ac:dyDescent="0.35">
      <c r="B906" t="s">
        <v>108</v>
      </c>
      <c r="C906">
        <v>25</v>
      </c>
      <c r="D906">
        <v>11</v>
      </c>
      <c r="E906">
        <v>3</v>
      </c>
      <c r="F906" t="s">
        <v>883</v>
      </c>
      <c r="G906" t="s">
        <v>892</v>
      </c>
    </row>
    <row r="907" spans="2:7" hidden="1" x14ac:dyDescent="0.35">
      <c r="B907" t="s">
        <v>695</v>
      </c>
      <c r="C907">
        <v>179</v>
      </c>
      <c r="D907">
        <v>25</v>
      </c>
      <c r="E907">
        <v>5</v>
      </c>
      <c r="F907" t="s">
        <v>883</v>
      </c>
      <c r="G907" t="s">
        <v>891</v>
      </c>
    </row>
    <row r="908" spans="2:7" hidden="1" x14ac:dyDescent="0.35">
      <c r="B908" t="s">
        <v>697</v>
      </c>
      <c r="C908">
        <v>685</v>
      </c>
      <c r="D908">
        <v>7</v>
      </c>
      <c r="E908">
        <v>7</v>
      </c>
      <c r="F908" t="s">
        <v>883</v>
      </c>
      <c r="G908" t="s">
        <v>890</v>
      </c>
    </row>
    <row r="909" spans="2:7" hidden="1" x14ac:dyDescent="0.35">
      <c r="B909" t="s">
        <v>179</v>
      </c>
      <c r="C909">
        <v>40</v>
      </c>
      <c r="D909">
        <v>15</v>
      </c>
      <c r="E909">
        <v>1</v>
      </c>
      <c r="F909" t="s">
        <v>883</v>
      </c>
      <c r="G909" t="s">
        <v>891</v>
      </c>
    </row>
    <row r="910" spans="2:7" hidden="1" x14ac:dyDescent="0.35">
      <c r="B910" t="s">
        <v>327</v>
      </c>
      <c r="C910">
        <v>253</v>
      </c>
      <c r="D910">
        <v>-11</v>
      </c>
      <c r="E910">
        <v>1</v>
      </c>
      <c r="F910" t="s">
        <v>883</v>
      </c>
      <c r="G910" t="s">
        <v>890</v>
      </c>
    </row>
    <row r="911" spans="2:7" hidden="1" x14ac:dyDescent="0.35">
      <c r="B911" t="s">
        <v>112</v>
      </c>
      <c r="C911">
        <v>57</v>
      </c>
      <c r="D911">
        <v>6</v>
      </c>
      <c r="E911">
        <v>5</v>
      </c>
      <c r="F911" t="s">
        <v>883</v>
      </c>
      <c r="G911" t="s">
        <v>892</v>
      </c>
    </row>
    <row r="912" spans="2:7" hidden="1" x14ac:dyDescent="0.35">
      <c r="B912" t="s">
        <v>732</v>
      </c>
      <c r="C912">
        <v>46</v>
      </c>
      <c r="D912">
        <v>0</v>
      </c>
      <c r="E912">
        <v>4</v>
      </c>
      <c r="F912" t="s">
        <v>883</v>
      </c>
      <c r="G912" t="s">
        <v>892</v>
      </c>
    </row>
    <row r="913" spans="2:7" hidden="1" x14ac:dyDescent="0.35">
      <c r="B913" t="s">
        <v>334</v>
      </c>
      <c r="C913">
        <v>140</v>
      </c>
      <c r="D913">
        <v>57</v>
      </c>
      <c r="E913">
        <v>2</v>
      </c>
      <c r="F913" t="s">
        <v>883</v>
      </c>
      <c r="G913" t="s">
        <v>890</v>
      </c>
    </row>
    <row r="914" spans="2:7" hidden="1" x14ac:dyDescent="0.35">
      <c r="B914" t="s">
        <v>120</v>
      </c>
      <c r="C914">
        <v>13</v>
      </c>
      <c r="D914">
        <v>4</v>
      </c>
      <c r="E914">
        <v>1</v>
      </c>
      <c r="F914" t="s">
        <v>883</v>
      </c>
      <c r="G914" t="s">
        <v>892</v>
      </c>
    </row>
    <row r="915" spans="2:7" hidden="1" x14ac:dyDescent="0.35">
      <c r="B915" t="s">
        <v>742</v>
      </c>
      <c r="C915">
        <v>250</v>
      </c>
      <c r="D915">
        <v>100</v>
      </c>
      <c r="E915">
        <v>3</v>
      </c>
      <c r="F915" t="s">
        <v>883</v>
      </c>
      <c r="G915" t="s">
        <v>890</v>
      </c>
    </row>
    <row r="916" spans="2:7" hidden="1" x14ac:dyDescent="0.35">
      <c r="B916" t="s">
        <v>742</v>
      </c>
      <c r="C916">
        <v>30</v>
      </c>
      <c r="D916">
        <v>5</v>
      </c>
      <c r="E916">
        <v>2</v>
      </c>
      <c r="F916" t="s">
        <v>883</v>
      </c>
      <c r="G916" t="s">
        <v>891</v>
      </c>
    </row>
    <row r="917" spans="2:7" hidden="1" x14ac:dyDescent="0.35">
      <c r="B917" t="s">
        <v>122</v>
      </c>
      <c r="C917">
        <v>352</v>
      </c>
      <c r="D917">
        <v>18</v>
      </c>
      <c r="E917">
        <v>5</v>
      </c>
      <c r="F917" t="s">
        <v>883</v>
      </c>
      <c r="G917" t="s">
        <v>890</v>
      </c>
    </row>
    <row r="918" spans="2:7" hidden="1" x14ac:dyDescent="0.35">
      <c r="B918" t="s">
        <v>745</v>
      </c>
      <c r="C918">
        <v>27</v>
      </c>
      <c r="D918">
        <v>0</v>
      </c>
      <c r="E918">
        <v>2</v>
      </c>
      <c r="F918" t="s">
        <v>883</v>
      </c>
      <c r="G918" t="s">
        <v>892</v>
      </c>
    </row>
    <row r="919" spans="2:7" hidden="1" x14ac:dyDescent="0.35">
      <c r="B919" t="s">
        <v>126</v>
      </c>
      <c r="C919">
        <v>32</v>
      </c>
      <c r="D919">
        <v>2</v>
      </c>
      <c r="E919">
        <v>2</v>
      </c>
      <c r="F919" t="s">
        <v>883</v>
      </c>
      <c r="G919" t="s">
        <v>891</v>
      </c>
    </row>
    <row r="920" spans="2:7" hidden="1" x14ac:dyDescent="0.35">
      <c r="B920" t="s">
        <v>750</v>
      </c>
      <c r="C920">
        <v>34</v>
      </c>
      <c r="D920">
        <v>-12</v>
      </c>
      <c r="E920">
        <v>5</v>
      </c>
      <c r="F920" t="s">
        <v>883</v>
      </c>
      <c r="G920" t="s">
        <v>892</v>
      </c>
    </row>
    <row r="921" spans="2:7" hidden="1" x14ac:dyDescent="0.35">
      <c r="B921" t="s">
        <v>761</v>
      </c>
      <c r="C921">
        <v>39</v>
      </c>
      <c r="D921">
        <v>14</v>
      </c>
      <c r="E921">
        <v>5</v>
      </c>
      <c r="F921" t="s">
        <v>883</v>
      </c>
      <c r="G921" t="s">
        <v>892</v>
      </c>
    </row>
    <row r="922" spans="2:7" hidden="1" x14ac:dyDescent="0.35">
      <c r="B922" t="s">
        <v>132</v>
      </c>
      <c r="C922">
        <v>82</v>
      </c>
      <c r="D922">
        <v>27</v>
      </c>
      <c r="E922">
        <v>3</v>
      </c>
      <c r="F922" t="s">
        <v>883</v>
      </c>
      <c r="G922" t="s">
        <v>891</v>
      </c>
    </row>
    <row r="923" spans="2:7" hidden="1" x14ac:dyDescent="0.35">
      <c r="B923" t="s">
        <v>769</v>
      </c>
      <c r="C923">
        <v>22</v>
      </c>
      <c r="D923">
        <v>11</v>
      </c>
      <c r="E923">
        <v>3</v>
      </c>
      <c r="F923" t="s">
        <v>883</v>
      </c>
      <c r="G923" t="s">
        <v>891</v>
      </c>
    </row>
    <row r="924" spans="2:7" hidden="1" x14ac:dyDescent="0.35">
      <c r="B924" t="s">
        <v>770</v>
      </c>
      <c r="C924">
        <v>42</v>
      </c>
      <c r="D924">
        <v>13</v>
      </c>
      <c r="E924">
        <v>3</v>
      </c>
      <c r="F924" t="s">
        <v>883</v>
      </c>
      <c r="G924" t="s">
        <v>892</v>
      </c>
    </row>
    <row r="925" spans="2:7" hidden="1" x14ac:dyDescent="0.35">
      <c r="B925" t="s">
        <v>772</v>
      </c>
      <c r="C925">
        <v>13</v>
      </c>
      <c r="D925">
        <v>3</v>
      </c>
      <c r="E925">
        <v>1</v>
      </c>
      <c r="F925" t="s">
        <v>883</v>
      </c>
      <c r="G925" t="s">
        <v>892</v>
      </c>
    </row>
    <row r="926" spans="2:7" hidden="1" x14ac:dyDescent="0.35">
      <c r="B926" t="s">
        <v>133</v>
      </c>
      <c r="C926">
        <v>197</v>
      </c>
      <c r="D926">
        <v>20</v>
      </c>
      <c r="E926">
        <v>4</v>
      </c>
      <c r="F926" t="s">
        <v>883</v>
      </c>
      <c r="G926" t="s">
        <v>891</v>
      </c>
    </row>
    <row r="927" spans="2:7" hidden="1" x14ac:dyDescent="0.35">
      <c r="B927" t="s">
        <v>777</v>
      </c>
      <c r="C927">
        <v>71</v>
      </c>
      <c r="D927">
        <v>4</v>
      </c>
      <c r="E927">
        <v>5</v>
      </c>
      <c r="F927" t="s">
        <v>883</v>
      </c>
      <c r="G927" t="s">
        <v>892</v>
      </c>
    </row>
    <row r="928" spans="2:7" hidden="1" x14ac:dyDescent="0.35">
      <c r="B928" t="s">
        <v>809</v>
      </c>
      <c r="C928">
        <v>57</v>
      </c>
      <c r="D928">
        <v>24</v>
      </c>
      <c r="E928">
        <v>5</v>
      </c>
      <c r="F928" t="s">
        <v>883</v>
      </c>
      <c r="G928" t="s">
        <v>892</v>
      </c>
    </row>
    <row r="929" spans="2:7" hidden="1" x14ac:dyDescent="0.35">
      <c r="B929" t="s">
        <v>827</v>
      </c>
      <c r="C929">
        <v>25</v>
      </c>
      <c r="D929">
        <v>2</v>
      </c>
      <c r="E929">
        <v>3</v>
      </c>
      <c r="F929" t="s">
        <v>883</v>
      </c>
      <c r="G929" t="s">
        <v>891</v>
      </c>
    </row>
    <row r="930" spans="2:7" hidden="1" x14ac:dyDescent="0.35">
      <c r="B930" t="s">
        <v>186</v>
      </c>
      <c r="C930">
        <v>67</v>
      </c>
      <c r="D930">
        <v>9</v>
      </c>
      <c r="E930">
        <v>4</v>
      </c>
      <c r="F930" t="s">
        <v>883</v>
      </c>
      <c r="G930" t="s">
        <v>892</v>
      </c>
    </row>
    <row r="931" spans="2:7" hidden="1" x14ac:dyDescent="0.35">
      <c r="B931" t="s">
        <v>837</v>
      </c>
      <c r="C931">
        <v>833</v>
      </c>
      <c r="D931">
        <v>93</v>
      </c>
      <c r="E931">
        <v>3</v>
      </c>
      <c r="F931" t="s">
        <v>883</v>
      </c>
      <c r="G931" t="s">
        <v>890</v>
      </c>
    </row>
    <row r="932" spans="2:7" hidden="1" x14ac:dyDescent="0.35">
      <c r="B932" t="s">
        <v>224</v>
      </c>
      <c r="C932">
        <v>1104</v>
      </c>
      <c r="D932">
        <v>209</v>
      </c>
      <c r="E932">
        <v>4</v>
      </c>
      <c r="F932" t="s">
        <v>883</v>
      </c>
      <c r="G932" t="s">
        <v>890</v>
      </c>
    </row>
    <row r="933" spans="2:7" hidden="1" x14ac:dyDescent="0.35">
      <c r="B933" t="s">
        <v>845</v>
      </c>
      <c r="C933">
        <v>78</v>
      </c>
      <c r="D933">
        <v>28</v>
      </c>
      <c r="E933">
        <v>6</v>
      </c>
      <c r="F933" t="s">
        <v>883</v>
      </c>
      <c r="G933" t="s">
        <v>891</v>
      </c>
    </row>
    <row r="934" spans="2:7" hidden="1" x14ac:dyDescent="0.35">
      <c r="B934" t="s">
        <v>845</v>
      </c>
      <c r="C934">
        <v>148</v>
      </c>
      <c r="D934">
        <v>23</v>
      </c>
      <c r="E934">
        <v>4</v>
      </c>
      <c r="F934" t="s">
        <v>883</v>
      </c>
      <c r="G934" t="s">
        <v>891</v>
      </c>
    </row>
    <row r="935" spans="2:7" hidden="1" x14ac:dyDescent="0.35">
      <c r="B935" t="s">
        <v>847</v>
      </c>
      <c r="C935">
        <v>19</v>
      </c>
      <c r="D935">
        <v>-18</v>
      </c>
      <c r="E935">
        <v>4</v>
      </c>
      <c r="F935" t="s">
        <v>883</v>
      </c>
      <c r="G935" t="s">
        <v>891</v>
      </c>
    </row>
    <row r="936" spans="2:7" hidden="1" x14ac:dyDescent="0.35">
      <c r="B936" t="s">
        <v>848</v>
      </c>
      <c r="C936">
        <v>224</v>
      </c>
      <c r="D936">
        <v>87</v>
      </c>
      <c r="E936">
        <v>3</v>
      </c>
      <c r="F936" t="s">
        <v>883</v>
      </c>
      <c r="G936" t="s">
        <v>890</v>
      </c>
    </row>
    <row r="937" spans="2:7" hidden="1" x14ac:dyDescent="0.35">
      <c r="B937" t="s">
        <v>347</v>
      </c>
      <c r="C937">
        <v>75</v>
      </c>
      <c r="D937">
        <v>2</v>
      </c>
      <c r="E937">
        <v>5</v>
      </c>
      <c r="F937" t="s">
        <v>883</v>
      </c>
      <c r="G937" t="s">
        <v>892</v>
      </c>
    </row>
    <row r="938" spans="2:7" hidden="1" x14ac:dyDescent="0.35">
      <c r="B938" t="s">
        <v>854</v>
      </c>
      <c r="C938">
        <v>55</v>
      </c>
      <c r="D938">
        <v>18</v>
      </c>
      <c r="E938">
        <v>2</v>
      </c>
      <c r="F938" t="s">
        <v>883</v>
      </c>
      <c r="G938" t="s">
        <v>891</v>
      </c>
    </row>
    <row r="939" spans="2:7" hidden="1" x14ac:dyDescent="0.35">
      <c r="B939" t="s">
        <v>855</v>
      </c>
      <c r="C939">
        <v>75</v>
      </c>
      <c r="D939">
        <v>29</v>
      </c>
      <c r="E939">
        <v>1</v>
      </c>
      <c r="F939" t="s">
        <v>883</v>
      </c>
      <c r="G939" t="s">
        <v>890</v>
      </c>
    </row>
    <row r="940" spans="2:7" hidden="1" x14ac:dyDescent="0.35">
      <c r="B940" t="s">
        <v>857</v>
      </c>
      <c r="C940">
        <v>57</v>
      </c>
      <c r="D940">
        <v>21</v>
      </c>
      <c r="E940">
        <v>4</v>
      </c>
      <c r="F940" t="s">
        <v>883</v>
      </c>
      <c r="G940" t="s">
        <v>892</v>
      </c>
    </row>
    <row r="941" spans="2:7" hidden="1" x14ac:dyDescent="0.35">
      <c r="B941" t="s">
        <v>864</v>
      </c>
      <c r="C941">
        <v>43</v>
      </c>
      <c r="D941">
        <v>8</v>
      </c>
      <c r="E941">
        <v>3</v>
      </c>
      <c r="F941" t="s">
        <v>883</v>
      </c>
      <c r="G941" t="s">
        <v>892</v>
      </c>
    </row>
    <row r="942" spans="2:7" hidden="1" x14ac:dyDescent="0.35">
      <c r="B942" t="s">
        <v>866</v>
      </c>
      <c r="C942">
        <v>1487</v>
      </c>
      <c r="D942">
        <v>624</v>
      </c>
      <c r="E942">
        <v>3</v>
      </c>
      <c r="F942" t="s">
        <v>883</v>
      </c>
      <c r="G942" t="s">
        <v>890</v>
      </c>
    </row>
    <row r="943" spans="2:7" hidden="1" x14ac:dyDescent="0.35">
      <c r="B943" t="s">
        <v>870</v>
      </c>
      <c r="C943">
        <v>59</v>
      </c>
      <c r="D943">
        <v>24</v>
      </c>
      <c r="E943">
        <v>6</v>
      </c>
      <c r="F943" t="s">
        <v>883</v>
      </c>
      <c r="G943" t="s">
        <v>891</v>
      </c>
    </row>
    <row r="944" spans="2:7" hidden="1" x14ac:dyDescent="0.35">
      <c r="B944" t="s">
        <v>870</v>
      </c>
      <c r="C944">
        <v>139</v>
      </c>
      <c r="D944">
        <v>14</v>
      </c>
      <c r="E944">
        <v>3</v>
      </c>
      <c r="F944" t="s">
        <v>883</v>
      </c>
      <c r="G944" t="s">
        <v>891</v>
      </c>
    </row>
    <row r="945" spans="2:7" hidden="1" x14ac:dyDescent="0.35">
      <c r="B945" t="s">
        <v>872</v>
      </c>
      <c r="C945">
        <v>59</v>
      </c>
      <c r="D945">
        <v>10</v>
      </c>
      <c r="E945">
        <v>4</v>
      </c>
      <c r="F945" t="s">
        <v>883</v>
      </c>
      <c r="G945" t="s">
        <v>892</v>
      </c>
    </row>
    <row r="946" spans="2:7" hidden="1" x14ac:dyDescent="0.35">
      <c r="B946" t="s">
        <v>227</v>
      </c>
      <c r="C946">
        <v>81</v>
      </c>
      <c r="D946">
        <v>41</v>
      </c>
      <c r="E946">
        <v>5</v>
      </c>
      <c r="F946" t="s">
        <v>883</v>
      </c>
      <c r="G946" t="s">
        <v>892</v>
      </c>
    </row>
    <row r="947" spans="2:7" hidden="1" x14ac:dyDescent="0.35">
      <c r="B947" t="s">
        <v>874</v>
      </c>
      <c r="C947">
        <v>6</v>
      </c>
      <c r="D947">
        <v>1</v>
      </c>
      <c r="E947">
        <v>1</v>
      </c>
      <c r="F947" t="s">
        <v>883</v>
      </c>
      <c r="G947" t="s">
        <v>891</v>
      </c>
    </row>
    <row r="948" spans="2:7" hidden="1" x14ac:dyDescent="0.35">
      <c r="B948" t="s">
        <v>875</v>
      </c>
      <c r="C948">
        <v>45</v>
      </c>
      <c r="D948">
        <v>9</v>
      </c>
      <c r="E948">
        <v>3</v>
      </c>
      <c r="F948" t="s">
        <v>883</v>
      </c>
      <c r="G948" t="s">
        <v>892</v>
      </c>
    </row>
    <row r="949" spans="2:7" hidden="1" x14ac:dyDescent="0.35">
      <c r="B949" t="s">
        <v>875</v>
      </c>
      <c r="C949">
        <v>264</v>
      </c>
      <c r="D949">
        <v>-26</v>
      </c>
      <c r="E949">
        <v>3</v>
      </c>
      <c r="F949" t="s">
        <v>883</v>
      </c>
      <c r="G949" t="s">
        <v>890</v>
      </c>
    </row>
    <row r="950" spans="2:7" hidden="1" x14ac:dyDescent="0.35">
      <c r="B950" t="s">
        <v>876</v>
      </c>
      <c r="C950">
        <v>39</v>
      </c>
      <c r="D950">
        <v>18</v>
      </c>
      <c r="E950">
        <v>2</v>
      </c>
      <c r="F950" t="s">
        <v>883</v>
      </c>
      <c r="G950" t="s">
        <v>892</v>
      </c>
    </row>
    <row r="951" spans="2:7" hidden="1" x14ac:dyDescent="0.35">
      <c r="B951" t="s">
        <v>877</v>
      </c>
      <c r="C951">
        <v>96</v>
      </c>
      <c r="D951">
        <v>48</v>
      </c>
      <c r="E951">
        <v>5</v>
      </c>
      <c r="F951" t="s">
        <v>883</v>
      </c>
      <c r="G951" t="s">
        <v>892</v>
      </c>
    </row>
    <row r="952" spans="2:7" hidden="1" x14ac:dyDescent="0.35">
      <c r="B952" t="s">
        <v>350</v>
      </c>
      <c r="C952">
        <v>2366</v>
      </c>
      <c r="D952">
        <v>552</v>
      </c>
      <c r="E952">
        <v>5</v>
      </c>
      <c r="F952" t="s">
        <v>883</v>
      </c>
      <c r="G952" t="s">
        <v>890</v>
      </c>
    </row>
    <row r="953" spans="2:7" hidden="1" x14ac:dyDescent="0.35">
      <c r="B953" t="s">
        <v>379</v>
      </c>
      <c r="C953">
        <v>68</v>
      </c>
      <c r="D953">
        <v>-55</v>
      </c>
      <c r="E953">
        <v>5</v>
      </c>
      <c r="F953" t="s">
        <v>893</v>
      </c>
      <c r="G953" t="s">
        <v>894</v>
      </c>
    </row>
    <row r="954" spans="2:7" hidden="1" x14ac:dyDescent="0.35">
      <c r="B954" t="s">
        <v>453</v>
      </c>
      <c r="C954">
        <v>174</v>
      </c>
      <c r="D954">
        <v>-70</v>
      </c>
      <c r="E954">
        <v>3</v>
      </c>
      <c r="F954" t="s">
        <v>893</v>
      </c>
      <c r="G954" t="s">
        <v>894</v>
      </c>
    </row>
    <row r="955" spans="2:7" hidden="1" x14ac:dyDescent="0.35">
      <c r="B955" t="s">
        <v>455</v>
      </c>
      <c r="C955">
        <v>168</v>
      </c>
      <c r="D955">
        <v>-10</v>
      </c>
      <c r="E955">
        <v>3</v>
      </c>
      <c r="F955" t="s">
        <v>893</v>
      </c>
      <c r="G955" t="s">
        <v>894</v>
      </c>
    </row>
    <row r="956" spans="2:7" hidden="1" x14ac:dyDescent="0.35">
      <c r="B956" t="s">
        <v>455</v>
      </c>
      <c r="C956">
        <v>115</v>
      </c>
      <c r="D956">
        <v>25</v>
      </c>
      <c r="E956">
        <v>1</v>
      </c>
      <c r="F956" t="s">
        <v>893</v>
      </c>
      <c r="G956" t="s">
        <v>894</v>
      </c>
    </row>
    <row r="957" spans="2:7" hidden="1" x14ac:dyDescent="0.35">
      <c r="B957" t="s">
        <v>455</v>
      </c>
      <c r="C957">
        <v>227</v>
      </c>
      <c r="D957">
        <v>102</v>
      </c>
      <c r="E957">
        <v>8</v>
      </c>
      <c r="F957" t="s">
        <v>893</v>
      </c>
      <c r="G957" t="s">
        <v>894</v>
      </c>
    </row>
    <row r="958" spans="2:7" hidden="1" x14ac:dyDescent="0.35">
      <c r="B958" t="s">
        <v>466</v>
      </c>
      <c r="C958">
        <v>166</v>
      </c>
      <c r="D958">
        <v>-113</v>
      </c>
      <c r="E958">
        <v>4</v>
      </c>
      <c r="F958" t="s">
        <v>893</v>
      </c>
      <c r="G958" t="s">
        <v>894</v>
      </c>
    </row>
    <row r="959" spans="2:7" hidden="1" x14ac:dyDescent="0.35">
      <c r="B959" t="s">
        <v>483</v>
      </c>
      <c r="C959">
        <v>20</v>
      </c>
      <c r="D959">
        <v>-2</v>
      </c>
      <c r="E959">
        <v>1</v>
      </c>
      <c r="F959" t="s">
        <v>893</v>
      </c>
      <c r="G959" t="s">
        <v>894</v>
      </c>
    </row>
    <row r="960" spans="2:7" hidden="1" x14ac:dyDescent="0.35">
      <c r="B960" t="s">
        <v>21</v>
      </c>
      <c r="C960">
        <v>68</v>
      </c>
      <c r="D960">
        <v>-27</v>
      </c>
      <c r="E960">
        <v>3</v>
      </c>
      <c r="F960" t="s">
        <v>893</v>
      </c>
      <c r="G960" t="s">
        <v>894</v>
      </c>
    </row>
    <row r="961" spans="2:7" hidden="1" x14ac:dyDescent="0.35">
      <c r="B961" t="s">
        <v>496</v>
      </c>
      <c r="C961">
        <v>114</v>
      </c>
      <c r="D961">
        <v>8</v>
      </c>
      <c r="E961">
        <v>3</v>
      </c>
      <c r="F961" t="s">
        <v>893</v>
      </c>
      <c r="G961" t="s">
        <v>894</v>
      </c>
    </row>
    <row r="962" spans="2:7" hidden="1" x14ac:dyDescent="0.35">
      <c r="B962" t="s">
        <v>500</v>
      </c>
      <c r="C962">
        <v>21</v>
      </c>
      <c r="D962">
        <v>-5</v>
      </c>
      <c r="E962">
        <v>1</v>
      </c>
      <c r="F962" t="s">
        <v>893</v>
      </c>
      <c r="G962" t="s">
        <v>894</v>
      </c>
    </row>
    <row r="963" spans="2:7" hidden="1" x14ac:dyDescent="0.35">
      <c r="B963" t="s">
        <v>255</v>
      </c>
      <c r="C963">
        <v>126</v>
      </c>
      <c r="D963">
        <v>-63</v>
      </c>
      <c r="E963">
        <v>3</v>
      </c>
      <c r="F963" t="s">
        <v>893</v>
      </c>
      <c r="G963" t="s">
        <v>894</v>
      </c>
    </row>
    <row r="964" spans="2:7" hidden="1" x14ac:dyDescent="0.35">
      <c r="B964" t="s">
        <v>523</v>
      </c>
      <c r="C964">
        <v>187</v>
      </c>
      <c r="D964">
        <v>30</v>
      </c>
      <c r="E964">
        <v>4</v>
      </c>
      <c r="F964" t="s">
        <v>893</v>
      </c>
      <c r="G964" t="s">
        <v>894</v>
      </c>
    </row>
    <row r="965" spans="2:7" hidden="1" x14ac:dyDescent="0.35">
      <c r="B965" t="s">
        <v>542</v>
      </c>
      <c r="C965">
        <v>65</v>
      </c>
      <c r="D965">
        <v>-52</v>
      </c>
      <c r="E965">
        <v>3</v>
      </c>
      <c r="F965" t="s">
        <v>893</v>
      </c>
      <c r="G965" t="s">
        <v>894</v>
      </c>
    </row>
    <row r="966" spans="2:7" hidden="1" x14ac:dyDescent="0.35">
      <c r="B966" t="s">
        <v>542</v>
      </c>
      <c r="C966">
        <v>620</v>
      </c>
      <c r="D966">
        <v>82</v>
      </c>
      <c r="E966">
        <v>6</v>
      </c>
      <c r="F966" t="s">
        <v>893</v>
      </c>
      <c r="G966" t="s">
        <v>894</v>
      </c>
    </row>
    <row r="967" spans="2:7" hidden="1" x14ac:dyDescent="0.35">
      <c r="B967" t="s">
        <v>553</v>
      </c>
      <c r="C967">
        <v>74</v>
      </c>
      <c r="D967">
        <v>-59</v>
      </c>
      <c r="E967">
        <v>2</v>
      </c>
      <c r="F967" t="s">
        <v>893</v>
      </c>
      <c r="G967" t="s">
        <v>894</v>
      </c>
    </row>
    <row r="968" spans="2:7" hidden="1" x14ac:dyDescent="0.35">
      <c r="B968" t="s">
        <v>61</v>
      </c>
      <c r="C968">
        <v>61</v>
      </c>
      <c r="D968">
        <v>-25</v>
      </c>
      <c r="E968">
        <v>4</v>
      </c>
      <c r="F968" t="s">
        <v>893</v>
      </c>
      <c r="G968" t="s">
        <v>894</v>
      </c>
    </row>
    <row r="969" spans="2:7" hidden="1" x14ac:dyDescent="0.35">
      <c r="B969" t="s">
        <v>573</v>
      </c>
      <c r="C969">
        <v>229</v>
      </c>
      <c r="D969">
        <v>-41</v>
      </c>
      <c r="E969">
        <v>8</v>
      </c>
      <c r="F969" t="s">
        <v>893</v>
      </c>
      <c r="G969" t="s">
        <v>894</v>
      </c>
    </row>
    <row r="970" spans="2:7" hidden="1" x14ac:dyDescent="0.35">
      <c r="B970" t="s">
        <v>582</v>
      </c>
      <c r="C970">
        <v>176</v>
      </c>
      <c r="D970">
        <v>37</v>
      </c>
      <c r="E970">
        <v>6</v>
      </c>
      <c r="F970" t="s">
        <v>893</v>
      </c>
      <c r="G970" t="s">
        <v>894</v>
      </c>
    </row>
    <row r="971" spans="2:7" hidden="1" x14ac:dyDescent="0.35">
      <c r="B971" t="s">
        <v>286</v>
      </c>
      <c r="C971">
        <v>28</v>
      </c>
      <c r="D971">
        <v>1</v>
      </c>
      <c r="E971">
        <v>1</v>
      </c>
      <c r="F971" t="s">
        <v>893</v>
      </c>
      <c r="G971" t="s">
        <v>894</v>
      </c>
    </row>
    <row r="972" spans="2:7" hidden="1" x14ac:dyDescent="0.35">
      <c r="B972" t="s">
        <v>69</v>
      </c>
      <c r="C972">
        <v>976</v>
      </c>
      <c r="D972">
        <v>293</v>
      </c>
      <c r="E972">
        <v>4</v>
      </c>
      <c r="F972" t="s">
        <v>893</v>
      </c>
      <c r="G972" t="s">
        <v>894</v>
      </c>
    </row>
    <row r="973" spans="2:7" hidden="1" x14ac:dyDescent="0.35">
      <c r="B973" t="s">
        <v>209</v>
      </c>
      <c r="C973">
        <v>122</v>
      </c>
      <c r="D973">
        <v>-66</v>
      </c>
      <c r="E973">
        <v>9</v>
      </c>
      <c r="F973" t="s">
        <v>893</v>
      </c>
      <c r="G973" t="s">
        <v>894</v>
      </c>
    </row>
    <row r="974" spans="2:7" hidden="1" x14ac:dyDescent="0.35">
      <c r="B974" t="s">
        <v>288</v>
      </c>
      <c r="C974">
        <v>633</v>
      </c>
      <c r="D974">
        <v>-633</v>
      </c>
      <c r="E974">
        <v>11</v>
      </c>
      <c r="F974" t="s">
        <v>893</v>
      </c>
      <c r="G974" t="s">
        <v>894</v>
      </c>
    </row>
    <row r="975" spans="2:7" hidden="1" x14ac:dyDescent="0.35">
      <c r="B975" t="s">
        <v>597</v>
      </c>
      <c r="C975">
        <v>307</v>
      </c>
      <c r="D975">
        <v>74</v>
      </c>
      <c r="E975">
        <v>3</v>
      </c>
      <c r="F975" t="s">
        <v>893</v>
      </c>
      <c r="G975" t="s">
        <v>894</v>
      </c>
    </row>
    <row r="976" spans="2:7" hidden="1" x14ac:dyDescent="0.35">
      <c r="B976" t="s">
        <v>604</v>
      </c>
      <c r="C976">
        <v>125</v>
      </c>
      <c r="D976">
        <v>0</v>
      </c>
      <c r="E976">
        <v>3</v>
      </c>
      <c r="F976" t="s">
        <v>893</v>
      </c>
      <c r="G976" t="s">
        <v>894</v>
      </c>
    </row>
    <row r="977" spans="2:7" hidden="1" x14ac:dyDescent="0.35">
      <c r="B977" t="s">
        <v>298</v>
      </c>
      <c r="C977">
        <v>59</v>
      </c>
      <c r="D977">
        <v>6</v>
      </c>
      <c r="E977">
        <v>1</v>
      </c>
      <c r="F977" t="s">
        <v>893</v>
      </c>
      <c r="G977" t="s">
        <v>894</v>
      </c>
    </row>
    <row r="978" spans="2:7" hidden="1" x14ac:dyDescent="0.35">
      <c r="B978" t="s">
        <v>611</v>
      </c>
      <c r="C978">
        <v>93</v>
      </c>
      <c r="D978">
        <v>15</v>
      </c>
      <c r="E978">
        <v>2</v>
      </c>
      <c r="F978" t="s">
        <v>893</v>
      </c>
      <c r="G978" t="s">
        <v>894</v>
      </c>
    </row>
    <row r="979" spans="2:7" hidden="1" x14ac:dyDescent="0.35">
      <c r="B979" t="s">
        <v>307</v>
      </c>
      <c r="C979">
        <v>214</v>
      </c>
      <c r="D979">
        <v>30</v>
      </c>
      <c r="E979">
        <v>3</v>
      </c>
      <c r="F979" t="s">
        <v>893</v>
      </c>
      <c r="G979" t="s">
        <v>894</v>
      </c>
    </row>
    <row r="980" spans="2:7" hidden="1" x14ac:dyDescent="0.35">
      <c r="B980" t="s">
        <v>631</v>
      </c>
      <c r="C980">
        <v>513</v>
      </c>
      <c r="D980">
        <v>215</v>
      </c>
      <c r="E980">
        <v>2</v>
      </c>
      <c r="F980" t="s">
        <v>893</v>
      </c>
      <c r="G980" t="s">
        <v>894</v>
      </c>
    </row>
    <row r="981" spans="2:7" hidden="1" x14ac:dyDescent="0.35">
      <c r="B981" t="s">
        <v>93</v>
      </c>
      <c r="C981">
        <v>324</v>
      </c>
      <c r="D981">
        <v>39</v>
      </c>
      <c r="E981">
        <v>8</v>
      </c>
      <c r="F981" t="s">
        <v>893</v>
      </c>
      <c r="G981" t="s">
        <v>894</v>
      </c>
    </row>
    <row r="982" spans="2:7" hidden="1" x14ac:dyDescent="0.35">
      <c r="B982" t="s">
        <v>310</v>
      </c>
      <c r="C982">
        <v>294</v>
      </c>
      <c r="D982">
        <v>109</v>
      </c>
      <c r="E982">
        <v>7</v>
      </c>
      <c r="F982" t="s">
        <v>893</v>
      </c>
      <c r="G982" t="s">
        <v>894</v>
      </c>
    </row>
    <row r="983" spans="2:7" hidden="1" x14ac:dyDescent="0.35">
      <c r="B983" t="s">
        <v>648</v>
      </c>
      <c r="C983">
        <v>170</v>
      </c>
      <c r="D983">
        <v>73</v>
      </c>
      <c r="E983">
        <v>2</v>
      </c>
      <c r="F983" t="s">
        <v>893</v>
      </c>
      <c r="G983" t="s">
        <v>894</v>
      </c>
    </row>
    <row r="984" spans="2:7" hidden="1" x14ac:dyDescent="0.35">
      <c r="B984" t="s">
        <v>680</v>
      </c>
      <c r="C984">
        <v>688</v>
      </c>
      <c r="D984">
        <v>103</v>
      </c>
      <c r="E984">
        <v>6</v>
      </c>
      <c r="F984" t="s">
        <v>893</v>
      </c>
      <c r="G984" t="s">
        <v>894</v>
      </c>
    </row>
    <row r="985" spans="2:7" hidden="1" x14ac:dyDescent="0.35">
      <c r="B985" t="s">
        <v>323</v>
      </c>
      <c r="C985">
        <v>802</v>
      </c>
      <c r="D985">
        <v>120</v>
      </c>
      <c r="E985">
        <v>7</v>
      </c>
      <c r="F985" t="s">
        <v>893</v>
      </c>
      <c r="G985" t="s">
        <v>894</v>
      </c>
    </row>
    <row r="986" spans="2:7" hidden="1" x14ac:dyDescent="0.35">
      <c r="B986" t="s">
        <v>323</v>
      </c>
      <c r="C986">
        <v>154</v>
      </c>
      <c r="D986">
        <v>26</v>
      </c>
      <c r="E986">
        <v>4</v>
      </c>
      <c r="F986" t="s">
        <v>893</v>
      </c>
      <c r="G986" t="s">
        <v>894</v>
      </c>
    </row>
    <row r="987" spans="2:7" hidden="1" x14ac:dyDescent="0.35">
      <c r="B987" t="s">
        <v>108</v>
      </c>
      <c r="C987">
        <v>455</v>
      </c>
      <c r="D987">
        <v>77</v>
      </c>
      <c r="E987">
        <v>8</v>
      </c>
      <c r="F987" t="s">
        <v>893</v>
      </c>
      <c r="G987" t="s">
        <v>894</v>
      </c>
    </row>
    <row r="988" spans="2:7" hidden="1" x14ac:dyDescent="0.35">
      <c r="B988" t="s">
        <v>177</v>
      </c>
      <c r="C988">
        <v>108</v>
      </c>
      <c r="D988">
        <v>22</v>
      </c>
      <c r="E988">
        <v>3</v>
      </c>
      <c r="F988" t="s">
        <v>893</v>
      </c>
      <c r="G988" t="s">
        <v>894</v>
      </c>
    </row>
    <row r="989" spans="2:7" hidden="1" x14ac:dyDescent="0.35">
      <c r="B989" t="s">
        <v>711</v>
      </c>
      <c r="C989">
        <v>84</v>
      </c>
      <c r="D989">
        <v>-42</v>
      </c>
      <c r="E989">
        <v>2</v>
      </c>
      <c r="F989" t="s">
        <v>893</v>
      </c>
      <c r="G989" t="s">
        <v>894</v>
      </c>
    </row>
    <row r="990" spans="2:7" hidden="1" x14ac:dyDescent="0.35">
      <c r="B990" t="s">
        <v>711</v>
      </c>
      <c r="C990">
        <v>71</v>
      </c>
      <c r="D990">
        <v>-44</v>
      </c>
      <c r="E990">
        <v>5</v>
      </c>
      <c r="F990" t="s">
        <v>893</v>
      </c>
      <c r="G990" t="s">
        <v>894</v>
      </c>
    </row>
    <row r="991" spans="2:7" hidden="1" x14ac:dyDescent="0.35">
      <c r="B991" t="s">
        <v>327</v>
      </c>
      <c r="C991">
        <v>226</v>
      </c>
      <c r="D991">
        <v>58</v>
      </c>
      <c r="E991">
        <v>3</v>
      </c>
      <c r="F991" t="s">
        <v>893</v>
      </c>
      <c r="G991" t="s">
        <v>894</v>
      </c>
    </row>
    <row r="992" spans="2:7" hidden="1" x14ac:dyDescent="0.35">
      <c r="B992" t="s">
        <v>718</v>
      </c>
      <c r="C992">
        <v>122</v>
      </c>
      <c r="D992">
        <v>15</v>
      </c>
      <c r="E992">
        <v>3</v>
      </c>
      <c r="F992" t="s">
        <v>893</v>
      </c>
      <c r="G992" t="s">
        <v>894</v>
      </c>
    </row>
    <row r="993" spans="2:7" hidden="1" x14ac:dyDescent="0.35">
      <c r="B993" t="s">
        <v>730</v>
      </c>
      <c r="C993">
        <v>61</v>
      </c>
      <c r="D993">
        <v>18</v>
      </c>
      <c r="E993">
        <v>2</v>
      </c>
      <c r="F993" t="s">
        <v>893</v>
      </c>
      <c r="G993" t="s">
        <v>894</v>
      </c>
    </row>
    <row r="994" spans="2:7" hidden="1" x14ac:dyDescent="0.35">
      <c r="B994" t="s">
        <v>730</v>
      </c>
      <c r="C994">
        <v>136</v>
      </c>
      <c r="D994">
        <v>41</v>
      </c>
      <c r="E994">
        <v>3</v>
      </c>
      <c r="F994" t="s">
        <v>893</v>
      </c>
      <c r="G994" t="s">
        <v>894</v>
      </c>
    </row>
    <row r="995" spans="2:7" hidden="1" x14ac:dyDescent="0.35">
      <c r="B995" t="s">
        <v>737</v>
      </c>
      <c r="C995">
        <v>1547</v>
      </c>
      <c r="D995">
        <v>340</v>
      </c>
      <c r="E995">
        <v>6</v>
      </c>
      <c r="F995" t="s">
        <v>893</v>
      </c>
      <c r="G995" t="s">
        <v>894</v>
      </c>
    </row>
    <row r="996" spans="2:7" hidden="1" x14ac:dyDescent="0.35">
      <c r="B996" t="s">
        <v>740</v>
      </c>
      <c r="C996">
        <v>207</v>
      </c>
      <c r="D996">
        <v>33</v>
      </c>
      <c r="E996">
        <v>2</v>
      </c>
      <c r="F996" t="s">
        <v>893</v>
      </c>
      <c r="G996" t="s">
        <v>894</v>
      </c>
    </row>
    <row r="997" spans="2:7" hidden="1" x14ac:dyDescent="0.35">
      <c r="B997" t="s">
        <v>742</v>
      </c>
      <c r="C997">
        <v>40</v>
      </c>
      <c r="D997">
        <v>18</v>
      </c>
      <c r="E997">
        <v>1</v>
      </c>
      <c r="F997" t="s">
        <v>893</v>
      </c>
      <c r="G997" t="s">
        <v>894</v>
      </c>
    </row>
    <row r="998" spans="2:7" hidden="1" x14ac:dyDescent="0.35">
      <c r="B998" t="s">
        <v>744</v>
      </c>
      <c r="C998">
        <v>116</v>
      </c>
      <c r="D998">
        <v>22</v>
      </c>
      <c r="E998">
        <v>1</v>
      </c>
      <c r="F998" t="s">
        <v>893</v>
      </c>
      <c r="G998" t="s">
        <v>894</v>
      </c>
    </row>
    <row r="999" spans="2:7" hidden="1" x14ac:dyDescent="0.35">
      <c r="B999" t="s">
        <v>218</v>
      </c>
      <c r="C999">
        <v>1716</v>
      </c>
      <c r="D999">
        <v>309</v>
      </c>
      <c r="E999">
        <v>7</v>
      </c>
      <c r="F999" t="s">
        <v>893</v>
      </c>
      <c r="G999" t="s">
        <v>894</v>
      </c>
    </row>
    <row r="1000" spans="2:7" hidden="1" x14ac:dyDescent="0.35">
      <c r="B1000" t="s">
        <v>755</v>
      </c>
      <c r="C1000">
        <v>811</v>
      </c>
      <c r="D1000">
        <v>154</v>
      </c>
      <c r="E1000">
        <v>7</v>
      </c>
      <c r="F1000" t="s">
        <v>893</v>
      </c>
      <c r="G1000" t="s">
        <v>894</v>
      </c>
    </row>
    <row r="1001" spans="2:7" hidden="1" x14ac:dyDescent="0.35">
      <c r="B1001" t="s">
        <v>759</v>
      </c>
      <c r="C1001">
        <v>115</v>
      </c>
      <c r="D1001">
        <v>47</v>
      </c>
      <c r="E1001">
        <v>2</v>
      </c>
      <c r="F1001" t="s">
        <v>893</v>
      </c>
      <c r="G1001" t="s">
        <v>894</v>
      </c>
    </row>
    <row r="1002" spans="2:7" hidden="1" x14ac:dyDescent="0.35">
      <c r="B1002" t="s">
        <v>782</v>
      </c>
      <c r="C1002">
        <v>42</v>
      </c>
      <c r="D1002">
        <v>15</v>
      </c>
      <c r="E1002">
        <v>1</v>
      </c>
      <c r="F1002" t="s">
        <v>893</v>
      </c>
      <c r="G1002" t="s">
        <v>894</v>
      </c>
    </row>
    <row r="1003" spans="2:7" hidden="1" x14ac:dyDescent="0.35">
      <c r="B1003" t="s">
        <v>796</v>
      </c>
      <c r="C1003">
        <v>770</v>
      </c>
      <c r="D1003">
        <v>323</v>
      </c>
      <c r="E1003">
        <v>3</v>
      </c>
      <c r="F1003" t="s">
        <v>893</v>
      </c>
      <c r="G1003" t="s">
        <v>894</v>
      </c>
    </row>
    <row r="1004" spans="2:7" hidden="1" x14ac:dyDescent="0.35">
      <c r="B1004" t="s">
        <v>806</v>
      </c>
      <c r="C1004">
        <v>1301</v>
      </c>
      <c r="D1004">
        <v>573</v>
      </c>
      <c r="E1004">
        <v>5</v>
      </c>
      <c r="F1004" t="s">
        <v>893</v>
      </c>
      <c r="G1004" t="s">
        <v>894</v>
      </c>
    </row>
    <row r="1005" spans="2:7" hidden="1" x14ac:dyDescent="0.35">
      <c r="B1005" t="s">
        <v>821</v>
      </c>
      <c r="C1005">
        <v>319</v>
      </c>
      <c r="D1005">
        <v>102</v>
      </c>
      <c r="E1005">
        <v>6</v>
      </c>
      <c r="F1005" t="s">
        <v>893</v>
      </c>
      <c r="G1005" t="s">
        <v>894</v>
      </c>
    </row>
    <row r="1006" spans="2:7" hidden="1" x14ac:dyDescent="0.35">
      <c r="B1006" t="s">
        <v>829</v>
      </c>
      <c r="C1006">
        <v>115</v>
      </c>
      <c r="D1006">
        <v>0</v>
      </c>
      <c r="E1006">
        <v>1</v>
      </c>
      <c r="F1006" t="s">
        <v>893</v>
      </c>
      <c r="G1006" t="s">
        <v>894</v>
      </c>
    </row>
    <row r="1007" spans="2:7" hidden="1" x14ac:dyDescent="0.35">
      <c r="B1007" t="s">
        <v>223</v>
      </c>
      <c r="C1007">
        <v>221</v>
      </c>
      <c r="D1007">
        <v>35</v>
      </c>
      <c r="E1007">
        <v>4</v>
      </c>
      <c r="F1007" t="s">
        <v>893</v>
      </c>
      <c r="G1007" t="s">
        <v>894</v>
      </c>
    </row>
    <row r="1008" spans="2:7" hidden="1" x14ac:dyDescent="0.35">
      <c r="B1008" t="s">
        <v>832</v>
      </c>
      <c r="C1008">
        <v>774</v>
      </c>
      <c r="D1008">
        <v>170</v>
      </c>
      <c r="E1008">
        <v>3</v>
      </c>
      <c r="F1008" t="s">
        <v>893</v>
      </c>
      <c r="G1008" t="s">
        <v>894</v>
      </c>
    </row>
    <row r="1009" spans="2:7" hidden="1" x14ac:dyDescent="0.35">
      <c r="B1009" t="s">
        <v>833</v>
      </c>
      <c r="C1009">
        <v>425</v>
      </c>
      <c r="D1009">
        <v>183</v>
      </c>
      <c r="E1009">
        <v>5</v>
      </c>
      <c r="F1009" t="s">
        <v>893</v>
      </c>
      <c r="G1009" t="s">
        <v>894</v>
      </c>
    </row>
    <row r="1010" spans="2:7" hidden="1" x14ac:dyDescent="0.35">
      <c r="B1010" t="s">
        <v>224</v>
      </c>
      <c r="C1010">
        <v>163</v>
      </c>
      <c r="D1010">
        <v>81</v>
      </c>
      <c r="E1010">
        <v>2</v>
      </c>
      <c r="F1010" t="s">
        <v>893</v>
      </c>
      <c r="G1010" t="s">
        <v>894</v>
      </c>
    </row>
    <row r="1011" spans="2:7" hidden="1" x14ac:dyDescent="0.35">
      <c r="B1011" t="s">
        <v>843</v>
      </c>
      <c r="C1011">
        <v>166</v>
      </c>
      <c r="D1011">
        <v>27</v>
      </c>
      <c r="E1011">
        <v>2</v>
      </c>
      <c r="F1011" t="s">
        <v>893</v>
      </c>
      <c r="G1011" t="s">
        <v>894</v>
      </c>
    </row>
    <row r="1012" spans="2:7" hidden="1" x14ac:dyDescent="0.35">
      <c r="B1012" t="s">
        <v>844</v>
      </c>
      <c r="C1012">
        <v>490</v>
      </c>
      <c r="D1012">
        <v>88</v>
      </c>
      <c r="E1012">
        <v>2</v>
      </c>
      <c r="F1012" t="s">
        <v>893</v>
      </c>
      <c r="G1012" t="s">
        <v>894</v>
      </c>
    </row>
    <row r="1013" spans="2:7" hidden="1" x14ac:dyDescent="0.35">
      <c r="B1013" t="s">
        <v>845</v>
      </c>
      <c r="C1013">
        <v>774</v>
      </c>
      <c r="D1013">
        <v>170</v>
      </c>
      <c r="E1013">
        <v>3</v>
      </c>
      <c r="F1013" t="s">
        <v>893</v>
      </c>
      <c r="G1013" t="s">
        <v>894</v>
      </c>
    </row>
    <row r="1014" spans="2:7" hidden="1" x14ac:dyDescent="0.35">
      <c r="B1014" t="s">
        <v>846</v>
      </c>
      <c r="C1014">
        <v>93</v>
      </c>
      <c r="D1014">
        <v>31</v>
      </c>
      <c r="E1014">
        <v>3</v>
      </c>
      <c r="F1014" t="s">
        <v>893</v>
      </c>
      <c r="G1014" t="s">
        <v>894</v>
      </c>
    </row>
    <row r="1015" spans="2:7" hidden="1" x14ac:dyDescent="0.35">
      <c r="B1015" t="s">
        <v>345</v>
      </c>
      <c r="C1015">
        <v>139</v>
      </c>
      <c r="D1015">
        <v>21</v>
      </c>
      <c r="E1015">
        <v>3</v>
      </c>
      <c r="F1015" t="s">
        <v>893</v>
      </c>
      <c r="G1015" t="s">
        <v>894</v>
      </c>
    </row>
    <row r="1016" spans="2:7" hidden="1" x14ac:dyDescent="0.35">
      <c r="B1016" t="s">
        <v>847</v>
      </c>
      <c r="C1016">
        <v>220</v>
      </c>
      <c r="D1016">
        <v>40</v>
      </c>
      <c r="E1016">
        <v>2</v>
      </c>
      <c r="F1016" t="s">
        <v>893</v>
      </c>
      <c r="G1016" t="s">
        <v>894</v>
      </c>
    </row>
    <row r="1017" spans="2:7" hidden="1" x14ac:dyDescent="0.35">
      <c r="B1017" t="s">
        <v>142</v>
      </c>
      <c r="C1017">
        <v>508</v>
      </c>
      <c r="D1017">
        <v>203</v>
      </c>
      <c r="E1017">
        <v>2</v>
      </c>
      <c r="F1017" t="s">
        <v>893</v>
      </c>
      <c r="G1017" t="s">
        <v>894</v>
      </c>
    </row>
    <row r="1018" spans="2:7" hidden="1" x14ac:dyDescent="0.35">
      <c r="B1018" t="s">
        <v>853</v>
      </c>
      <c r="C1018">
        <v>193</v>
      </c>
      <c r="D1018">
        <v>33</v>
      </c>
      <c r="E1018">
        <v>5</v>
      </c>
      <c r="F1018" t="s">
        <v>893</v>
      </c>
      <c r="G1018" t="s">
        <v>894</v>
      </c>
    </row>
    <row r="1019" spans="2:7" hidden="1" x14ac:dyDescent="0.35">
      <c r="B1019" t="s">
        <v>862</v>
      </c>
      <c r="C1019">
        <v>169</v>
      </c>
      <c r="D1019">
        <v>0</v>
      </c>
      <c r="E1019">
        <v>3</v>
      </c>
      <c r="F1019" t="s">
        <v>893</v>
      </c>
      <c r="G1019" t="s">
        <v>894</v>
      </c>
    </row>
    <row r="1020" spans="2:7" hidden="1" x14ac:dyDescent="0.35">
      <c r="B1020" t="s">
        <v>864</v>
      </c>
      <c r="C1020">
        <v>143</v>
      </c>
      <c r="D1020">
        <v>6</v>
      </c>
      <c r="E1020">
        <v>2</v>
      </c>
      <c r="F1020" t="s">
        <v>893</v>
      </c>
      <c r="G1020" t="s">
        <v>894</v>
      </c>
    </row>
    <row r="1021" spans="2:7" hidden="1" x14ac:dyDescent="0.35">
      <c r="B1021" t="s">
        <v>864</v>
      </c>
      <c r="C1021">
        <v>45</v>
      </c>
      <c r="D1021">
        <v>17</v>
      </c>
      <c r="E1021">
        <v>1</v>
      </c>
      <c r="F1021" t="s">
        <v>893</v>
      </c>
      <c r="G1021" t="s">
        <v>894</v>
      </c>
    </row>
    <row r="1022" spans="2:7" hidden="1" x14ac:dyDescent="0.35">
      <c r="B1022" t="s">
        <v>227</v>
      </c>
      <c r="C1022">
        <v>492</v>
      </c>
      <c r="D1022">
        <v>187</v>
      </c>
      <c r="E1022">
        <v>2</v>
      </c>
      <c r="F1022" t="s">
        <v>893</v>
      </c>
      <c r="G1022" t="s">
        <v>894</v>
      </c>
    </row>
    <row r="1023" spans="2:7" hidden="1" x14ac:dyDescent="0.35">
      <c r="B1023" t="s">
        <v>875</v>
      </c>
      <c r="C1023">
        <v>88</v>
      </c>
      <c r="D1023">
        <v>11</v>
      </c>
      <c r="E1023">
        <v>3</v>
      </c>
      <c r="F1023" t="s">
        <v>893</v>
      </c>
      <c r="G1023" t="s">
        <v>894</v>
      </c>
    </row>
    <row r="1024" spans="2:7" hidden="1" x14ac:dyDescent="0.35">
      <c r="B1024" t="s">
        <v>877</v>
      </c>
      <c r="C1024">
        <v>82</v>
      </c>
      <c r="D1024">
        <v>8</v>
      </c>
      <c r="E1024">
        <v>3</v>
      </c>
      <c r="F1024" t="s">
        <v>893</v>
      </c>
      <c r="G1024" t="s">
        <v>894</v>
      </c>
    </row>
    <row r="1025" spans="2:7" hidden="1" x14ac:dyDescent="0.35">
      <c r="B1025" t="s">
        <v>371</v>
      </c>
      <c r="C1025">
        <v>856</v>
      </c>
      <c r="D1025">
        <v>385</v>
      </c>
      <c r="E1025">
        <v>6</v>
      </c>
      <c r="F1025" t="s">
        <v>893</v>
      </c>
      <c r="G1025" t="s">
        <v>895</v>
      </c>
    </row>
    <row r="1026" spans="2:7" hidden="1" x14ac:dyDescent="0.35">
      <c r="B1026" t="s">
        <v>379</v>
      </c>
      <c r="C1026">
        <v>1076</v>
      </c>
      <c r="D1026">
        <v>-38</v>
      </c>
      <c r="E1026">
        <v>4</v>
      </c>
      <c r="F1026" t="s">
        <v>893</v>
      </c>
      <c r="G1026" t="s">
        <v>895</v>
      </c>
    </row>
    <row r="1027" spans="2:7" hidden="1" x14ac:dyDescent="0.35">
      <c r="B1027" t="s">
        <v>379</v>
      </c>
      <c r="C1027">
        <v>781</v>
      </c>
      <c r="D1027">
        <v>-594</v>
      </c>
      <c r="E1027">
        <v>6</v>
      </c>
      <c r="F1027" t="s">
        <v>893</v>
      </c>
      <c r="G1027" t="s">
        <v>895</v>
      </c>
    </row>
    <row r="1028" spans="2:7" hidden="1" x14ac:dyDescent="0.35">
      <c r="B1028" t="s">
        <v>195</v>
      </c>
      <c r="C1028">
        <v>193</v>
      </c>
      <c r="D1028">
        <v>46</v>
      </c>
      <c r="E1028">
        <v>1</v>
      </c>
      <c r="F1028" t="s">
        <v>893</v>
      </c>
      <c r="G1028" t="s">
        <v>895</v>
      </c>
    </row>
    <row r="1029" spans="2:7" hidden="1" x14ac:dyDescent="0.35">
      <c r="B1029" t="s">
        <v>197</v>
      </c>
      <c r="C1029">
        <v>816</v>
      </c>
      <c r="D1029">
        <v>-96</v>
      </c>
      <c r="E1029">
        <v>3</v>
      </c>
      <c r="F1029" t="s">
        <v>893</v>
      </c>
      <c r="G1029" t="s">
        <v>895</v>
      </c>
    </row>
    <row r="1030" spans="2:7" hidden="1" x14ac:dyDescent="0.35">
      <c r="B1030" t="s">
        <v>11</v>
      </c>
      <c r="C1030">
        <v>133</v>
      </c>
      <c r="D1030">
        <v>-42</v>
      </c>
      <c r="E1030">
        <v>1</v>
      </c>
      <c r="F1030" t="s">
        <v>893</v>
      </c>
      <c r="G1030" t="s">
        <v>895</v>
      </c>
    </row>
    <row r="1031" spans="2:7" hidden="1" x14ac:dyDescent="0.35">
      <c r="B1031" t="s">
        <v>235</v>
      </c>
      <c r="C1031">
        <v>245</v>
      </c>
      <c r="D1031">
        <v>-78</v>
      </c>
      <c r="E1031">
        <v>2</v>
      </c>
      <c r="F1031" t="s">
        <v>893</v>
      </c>
      <c r="G1031" t="s">
        <v>895</v>
      </c>
    </row>
    <row r="1032" spans="2:7" hidden="1" x14ac:dyDescent="0.35">
      <c r="B1032" t="s">
        <v>455</v>
      </c>
      <c r="C1032">
        <v>1279</v>
      </c>
      <c r="D1032">
        <v>-640</v>
      </c>
      <c r="E1032">
        <v>8</v>
      </c>
      <c r="F1032" t="s">
        <v>893</v>
      </c>
      <c r="G1032" t="s">
        <v>895</v>
      </c>
    </row>
    <row r="1033" spans="2:7" hidden="1" x14ac:dyDescent="0.35">
      <c r="B1033" t="s">
        <v>455</v>
      </c>
      <c r="C1033">
        <v>668</v>
      </c>
      <c r="D1033">
        <v>-31</v>
      </c>
      <c r="E1033">
        <v>3</v>
      </c>
      <c r="F1033" t="s">
        <v>893</v>
      </c>
      <c r="G1033" t="s">
        <v>895</v>
      </c>
    </row>
    <row r="1034" spans="2:7" hidden="1" x14ac:dyDescent="0.35">
      <c r="B1034" t="s">
        <v>237</v>
      </c>
      <c r="C1034">
        <v>450</v>
      </c>
      <c r="D1034">
        <v>-90</v>
      </c>
      <c r="E1034">
        <v>3</v>
      </c>
      <c r="F1034" t="s">
        <v>893</v>
      </c>
      <c r="G1034" t="s">
        <v>895</v>
      </c>
    </row>
    <row r="1035" spans="2:7" hidden="1" x14ac:dyDescent="0.35">
      <c r="B1035" t="s">
        <v>199</v>
      </c>
      <c r="C1035">
        <v>651</v>
      </c>
      <c r="D1035">
        <v>169</v>
      </c>
      <c r="E1035">
        <v>5</v>
      </c>
      <c r="F1035" t="s">
        <v>893</v>
      </c>
      <c r="G1035" t="s">
        <v>895</v>
      </c>
    </row>
    <row r="1036" spans="2:7" hidden="1" x14ac:dyDescent="0.35">
      <c r="B1036" t="s">
        <v>17</v>
      </c>
      <c r="C1036">
        <v>294</v>
      </c>
      <c r="D1036">
        <v>138</v>
      </c>
      <c r="E1036">
        <v>2</v>
      </c>
      <c r="F1036" t="s">
        <v>893</v>
      </c>
      <c r="G1036" t="s">
        <v>895</v>
      </c>
    </row>
    <row r="1037" spans="2:7" hidden="1" x14ac:dyDescent="0.35">
      <c r="B1037" t="s">
        <v>470</v>
      </c>
      <c r="C1037">
        <v>1030</v>
      </c>
      <c r="D1037">
        <v>206</v>
      </c>
      <c r="E1037">
        <v>8</v>
      </c>
      <c r="F1037" t="s">
        <v>893</v>
      </c>
      <c r="G1037" t="s">
        <v>895</v>
      </c>
    </row>
    <row r="1038" spans="2:7" hidden="1" x14ac:dyDescent="0.35">
      <c r="B1038" t="s">
        <v>488</v>
      </c>
      <c r="C1038">
        <v>433</v>
      </c>
      <c r="D1038">
        <v>26</v>
      </c>
      <c r="E1038">
        <v>3</v>
      </c>
      <c r="F1038" t="s">
        <v>893</v>
      </c>
      <c r="G1038" t="s">
        <v>895</v>
      </c>
    </row>
    <row r="1039" spans="2:7" hidden="1" x14ac:dyDescent="0.35">
      <c r="B1039" t="s">
        <v>489</v>
      </c>
      <c r="C1039">
        <v>332</v>
      </c>
      <c r="D1039">
        <v>-503</v>
      </c>
      <c r="E1039">
        <v>3</v>
      </c>
      <c r="F1039" t="s">
        <v>893</v>
      </c>
      <c r="G1039" t="s">
        <v>895</v>
      </c>
    </row>
    <row r="1040" spans="2:7" hidden="1" x14ac:dyDescent="0.35">
      <c r="B1040" t="s">
        <v>494</v>
      </c>
      <c r="C1040">
        <v>887</v>
      </c>
      <c r="D1040">
        <v>80</v>
      </c>
      <c r="E1040">
        <v>3</v>
      </c>
      <c r="F1040" t="s">
        <v>893</v>
      </c>
      <c r="G1040" t="s">
        <v>895</v>
      </c>
    </row>
    <row r="1041" spans="2:7" hidden="1" x14ac:dyDescent="0.35">
      <c r="B1041" t="s">
        <v>496</v>
      </c>
      <c r="C1041">
        <v>1300</v>
      </c>
      <c r="D1041">
        <v>-16</v>
      </c>
      <c r="E1041">
        <v>8</v>
      </c>
      <c r="F1041" t="s">
        <v>893</v>
      </c>
      <c r="G1041" t="s">
        <v>895</v>
      </c>
    </row>
    <row r="1042" spans="2:7" hidden="1" x14ac:dyDescent="0.35">
      <c r="B1042" t="s">
        <v>496</v>
      </c>
      <c r="C1042">
        <v>322</v>
      </c>
      <c r="D1042">
        <v>-193</v>
      </c>
      <c r="E1042">
        <v>5</v>
      </c>
      <c r="F1042" t="s">
        <v>893</v>
      </c>
      <c r="G1042" t="s">
        <v>895</v>
      </c>
    </row>
    <row r="1043" spans="2:7" hidden="1" x14ac:dyDescent="0.35">
      <c r="B1043" t="s">
        <v>203</v>
      </c>
      <c r="C1043">
        <v>1055</v>
      </c>
      <c r="D1043">
        <v>264</v>
      </c>
      <c r="E1043">
        <v>4</v>
      </c>
      <c r="F1043" t="s">
        <v>893</v>
      </c>
      <c r="G1043" t="s">
        <v>895</v>
      </c>
    </row>
    <row r="1044" spans="2:7" hidden="1" x14ac:dyDescent="0.35">
      <c r="B1044" t="s">
        <v>537</v>
      </c>
      <c r="C1044">
        <v>373</v>
      </c>
      <c r="D1044">
        <v>-254</v>
      </c>
      <c r="E1044">
        <v>6</v>
      </c>
      <c r="F1044" t="s">
        <v>893</v>
      </c>
      <c r="G1044" t="s">
        <v>895</v>
      </c>
    </row>
    <row r="1045" spans="2:7" hidden="1" x14ac:dyDescent="0.35">
      <c r="B1045" t="s">
        <v>53</v>
      </c>
      <c r="C1045">
        <v>735</v>
      </c>
      <c r="D1045">
        <v>-235</v>
      </c>
      <c r="E1045">
        <v>6</v>
      </c>
      <c r="F1045" t="s">
        <v>893</v>
      </c>
      <c r="G1045" t="s">
        <v>895</v>
      </c>
    </row>
    <row r="1046" spans="2:7" hidden="1" x14ac:dyDescent="0.35">
      <c r="B1046" t="s">
        <v>543</v>
      </c>
      <c r="C1046">
        <v>262</v>
      </c>
      <c r="D1046">
        <v>-215</v>
      </c>
      <c r="E1046">
        <v>2</v>
      </c>
      <c r="F1046" t="s">
        <v>893</v>
      </c>
      <c r="G1046" t="s">
        <v>895</v>
      </c>
    </row>
    <row r="1047" spans="2:7" hidden="1" x14ac:dyDescent="0.35">
      <c r="B1047" t="s">
        <v>274</v>
      </c>
      <c r="C1047">
        <v>643</v>
      </c>
      <c r="D1047">
        <v>-45</v>
      </c>
      <c r="E1047">
        <v>2</v>
      </c>
      <c r="F1047" t="s">
        <v>893</v>
      </c>
      <c r="G1047" t="s">
        <v>895</v>
      </c>
    </row>
    <row r="1048" spans="2:7" hidden="1" x14ac:dyDescent="0.35">
      <c r="B1048" t="s">
        <v>549</v>
      </c>
      <c r="C1048">
        <v>322</v>
      </c>
      <c r="D1048">
        <v>-193</v>
      </c>
      <c r="E1048">
        <v>5</v>
      </c>
      <c r="F1048" t="s">
        <v>893</v>
      </c>
      <c r="G1048" t="s">
        <v>895</v>
      </c>
    </row>
    <row r="1049" spans="2:7" hidden="1" x14ac:dyDescent="0.35">
      <c r="B1049" t="s">
        <v>559</v>
      </c>
      <c r="C1049">
        <v>1183</v>
      </c>
      <c r="D1049">
        <v>106</v>
      </c>
      <c r="E1049">
        <v>4</v>
      </c>
      <c r="F1049" t="s">
        <v>893</v>
      </c>
      <c r="G1049" t="s">
        <v>895</v>
      </c>
    </row>
    <row r="1050" spans="2:7" hidden="1" x14ac:dyDescent="0.35">
      <c r="B1050" t="s">
        <v>61</v>
      </c>
      <c r="C1050">
        <v>1076</v>
      </c>
      <c r="D1050">
        <v>-38</v>
      </c>
      <c r="E1050">
        <v>4</v>
      </c>
      <c r="F1050" t="s">
        <v>893</v>
      </c>
      <c r="G1050" t="s">
        <v>895</v>
      </c>
    </row>
    <row r="1051" spans="2:7" hidden="1" x14ac:dyDescent="0.35">
      <c r="B1051" t="s">
        <v>282</v>
      </c>
      <c r="C1051">
        <v>1506</v>
      </c>
      <c r="D1051">
        <v>-266</v>
      </c>
      <c r="E1051">
        <v>6</v>
      </c>
      <c r="F1051" t="s">
        <v>893</v>
      </c>
      <c r="G1051" t="s">
        <v>895</v>
      </c>
    </row>
    <row r="1052" spans="2:7" hidden="1" x14ac:dyDescent="0.35">
      <c r="B1052" t="s">
        <v>567</v>
      </c>
      <c r="C1052">
        <v>584</v>
      </c>
      <c r="D1052">
        <v>-444</v>
      </c>
      <c r="E1052">
        <v>7</v>
      </c>
      <c r="F1052" t="s">
        <v>893</v>
      </c>
      <c r="G1052" t="s">
        <v>895</v>
      </c>
    </row>
    <row r="1053" spans="2:7" hidden="1" x14ac:dyDescent="0.35">
      <c r="B1053" t="s">
        <v>585</v>
      </c>
      <c r="C1053">
        <v>448</v>
      </c>
      <c r="D1053">
        <v>148</v>
      </c>
      <c r="E1053">
        <v>2</v>
      </c>
      <c r="F1053" t="s">
        <v>893</v>
      </c>
      <c r="G1053" t="s">
        <v>895</v>
      </c>
    </row>
    <row r="1054" spans="2:7" hidden="1" x14ac:dyDescent="0.35">
      <c r="B1054" t="s">
        <v>71</v>
      </c>
      <c r="C1054">
        <v>757</v>
      </c>
      <c r="D1054">
        <v>371</v>
      </c>
      <c r="E1054">
        <v>2</v>
      </c>
      <c r="F1054" t="s">
        <v>893</v>
      </c>
      <c r="G1054" t="s">
        <v>895</v>
      </c>
    </row>
    <row r="1055" spans="2:7" hidden="1" x14ac:dyDescent="0.35">
      <c r="B1055" t="s">
        <v>589</v>
      </c>
      <c r="C1055">
        <v>321</v>
      </c>
      <c r="D1055">
        <v>26</v>
      </c>
      <c r="E1055">
        <v>3</v>
      </c>
      <c r="F1055" t="s">
        <v>893</v>
      </c>
      <c r="G1055" t="s">
        <v>895</v>
      </c>
    </row>
    <row r="1056" spans="2:7" hidden="1" x14ac:dyDescent="0.35">
      <c r="B1056" t="s">
        <v>296</v>
      </c>
      <c r="C1056">
        <v>743</v>
      </c>
      <c r="D1056">
        <v>89</v>
      </c>
      <c r="E1056">
        <v>5</v>
      </c>
      <c r="F1056" t="s">
        <v>893</v>
      </c>
      <c r="G1056" t="s">
        <v>895</v>
      </c>
    </row>
    <row r="1057" spans="2:7" hidden="1" x14ac:dyDescent="0.35">
      <c r="B1057" t="s">
        <v>299</v>
      </c>
      <c r="C1057">
        <v>637</v>
      </c>
      <c r="D1057">
        <v>261</v>
      </c>
      <c r="E1057">
        <v>2</v>
      </c>
      <c r="F1057" t="s">
        <v>893</v>
      </c>
      <c r="G1057" t="s">
        <v>895</v>
      </c>
    </row>
    <row r="1058" spans="2:7" hidden="1" x14ac:dyDescent="0.35">
      <c r="B1058" t="s">
        <v>211</v>
      </c>
      <c r="C1058">
        <v>1298</v>
      </c>
      <c r="D1058">
        <v>65</v>
      </c>
      <c r="E1058">
        <v>9</v>
      </c>
      <c r="F1058" t="s">
        <v>893</v>
      </c>
      <c r="G1058" t="s">
        <v>895</v>
      </c>
    </row>
    <row r="1059" spans="2:7" hidden="1" x14ac:dyDescent="0.35">
      <c r="B1059" t="s">
        <v>88</v>
      </c>
      <c r="C1059">
        <v>955</v>
      </c>
      <c r="D1059">
        <v>305</v>
      </c>
      <c r="E1059">
        <v>3</v>
      </c>
      <c r="F1059" t="s">
        <v>893</v>
      </c>
      <c r="G1059" t="s">
        <v>895</v>
      </c>
    </row>
    <row r="1060" spans="2:7" hidden="1" x14ac:dyDescent="0.35">
      <c r="B1060" t="s">
        <v>90</v>
      </c>
      <c r="C1060">
        <v>1543</v>
      </c>
      <c r="D1060">
        <v>370</v>
      </c>
      <c r="E1060">
        <v>8</v>
      </c>
      <c r="F1060" t="s">
        <v>893</v>
      </c>
      <c r="G1060" t="s">
        <v>895</v>
      </c>
    </row>
    <row r="1061" spans="2:7" hidden="1" x14ac:dyDescent="0.35">
      <c r="B1061" t="s">
        <v>622</v>
      </c>
      <c r="C1061">
        <v>757</v>
      </c>
      <c r="D1061">
        <v>371</v>
      </c>
      <c r="E1061">
        <v>2</v>
      </c>
      <c r="F1061" t="s">
        <v>893</v>
      </c>
      <c r="G1061" t="s">
        <v>895</v>
      </c>
    </row>
    <row r="1062" spans="2:7" hidden="1" x14ac:dyDescent="0.35">
      <c r="B1062" t="s">
        <v>626</v>
      </c>
      <c r="C1062">
        <v>643</v>
      </c>
      <c r="D1062">
        <v>225</v>
      </c>
      <c r="E1062">
        <v>2</v>
      </c>
      <c r="F1062" t="s">
        <v>893</v>
      </c>
      <c r="G1062" t="s">
        <v>895</v>
      </c>
    </row>
    <row r="1063" spans="2:7" hidden="1" x14ac:dyDescent="0.35">
      <c r="B1063" t="s">
        <v>632</v>
      </c>
      <c r="C1063">
        <v>300</v>
      </c>
      <c r="D1063">
        <v>42</v>
      </c>
      <c r="E1063">
        <v>2</v>
      </c>
      <c r="F1063" t="s">
        <v>893</v>
      </c>
      <c r="G1063" t="s">
        <v>895</v>
      </c>
    </row>
    <row r="1064" spans="2:7" hidden="1" x14ac:dyDescent="0.35">
      <c r="B1064" t="s">
        <v>634</v>
      </c>
      <c r="C1064">
        <v>320</v>
      </c>
      <c r="D1064">
        <v>144</v>
      </c>
      <c r="E1064">
        <v>1</v>
      </c>
      <c r="F1064" t="s">
        <v>893</v>
      </c>
      <c r="G1064" t="s">
        <v>895</v>
      </c>
    </row>
    <row r="1065" spans="2:7" hidden="1" x14ac:dyDescent="0.35">
      <c r="B1065" t="s">
        <v>636</v>
      </c>
      <c r="C1065">
        <v>579</v>
      </c>
      <c r="D1065">
        <v>139</v>
      </c>
      <c r="E1065">
        <v>3</v>
      </c>
      <c r="F1065" t="s">
        <v>893</v>
      </c>
      <c r="G1065" t="s">
        <v>895</v>
      </c>
    </row>
    <row r="1066" spans="2:7" hidden="1" x14ac:dyDescent="0.35">
      <c r="B1066" t="s">
        <v>170</v>
      </c>
      <c r="C1066">
        <v>829</v>
      </c>
      <c r="D1066">
        <v>19</v>
      </c>
      <c r="E1066">
        <v>4</v>
      </c>
      <c r="F1066" t="s">
        <v>893</v>
      </c>
      <c r="G1066" t="s">
        <v>895</v>
      </c>
    </row>
    <row r="1067" spans="2:7" hidden="1" x14ac:dyDescent="0.35">
      <c r="B1067" t="s">
        <v>170</v>
      </c>
      <c r="C1067">
        <v>1319</v>
      </c>
      <c r="D1067">
        <v>567</v>
      </c>
      <c r="E1067">
        <v>5</v>
      </c>
      <c r="F1067" t="s">
        <v>893</v>
      </c>
      <c r="G1067" t="s">
        <v>895</v>
      </c>
    </row>
    <row r="1068" spans="2:7" hidden="1" x14ac:dyDescent="0.35">
      <c r="B1068" t="s">
        <v>675</v>
      </c>
      <c r="C1068">
        <v>2125</v>
      </c>
      <c r="D1068">
        <v>234</v>
      </c>
      <c r="E1068">
        <v>6</v>
      </c>
      <c r="F1068" t="s">
        <v>893</v>
      </c>
      <c r="G1068" t="s">
        <v>895</v>
      </c>
    </row>
    <row r="1069" spans="2:7" hidden="1" x14ac:dyDescent="0.35">
      <c r="B1069" t="s">
        <v>680</v>
      </c>
      <c r="C1069">
        <v>372</v>
      </c>
      <c r="D1069">
        <v>59</v>
      </c>
      <c r="E1069">
        <v>3</v>
      </c>
      <c r="F1069" t="s">
        <v>893</v>
      </c>
      <c r="G1069" t="s">
        <v>895</v>
      </c>
    </row>
    <row r="1070" spans="2:7" hidden="1" x14ac:dyDescent="0.35">
      <c r="B1070" t="s">
        <v>707</v>
      </c>
      <c r="C1070">
        <v>636</v>
      </c>
      <c r="D1070">
        <v>204</v>
      </c>
      <c r="E1070">
        <v>2</v>
      </c>
      <c r="F1070" t="s">
        <v>893</v>
      </c>
      <c r="G1070" t="s">
        <v>895</v>
      </c>
    </row>
    <row r="1071" spans="2:7" hidden="1" x14ac:dyDescent="0.35">
      <c r="B1071" t="s">
        <v>327</v>
      </c>
      <c r="C1071">
        <v>484</v>
      </c>
      <c r="D1071">
        <v>28</v>
      </c>
      <c r="E1071">
        <v>3</v>
      </c>
      <c r="F1071" t="s">
        <v>893</v>
      </c>
      <c r="G1071" t="s">
        <v>895</v>
      </c>
    </row>
    <row r="1072" spans="2:7" hidden="1" x14ac:dyDescent="0.35">
      <c r="B1072" t="s">
        <v>736</v>
      </c>
      <c r="C1072">
        <v>646</v>
      </c>
      <c r="D1072">
        <v>-23</v>
      </c>
      <c r="E1072">
        <v>2</v>
      </c>
      <c r="F1072" t="s">
        <v>893</v>
      </c>
      <c r="G1072" t="s">
        <v>895</v>
      </c>
    </row>
    <row r="1073" spans="2:7" hidden="1" x14ac:dyDescent="0.35">
      <c r="B1073" t="s">
        <v>120</v>
      </c>
      <c r="C1073">
        <v>644</v>
      </c>
      <c r="D1073">
        <v>167</v>
      </c>
      <c r="E1073">
        <v>2</v>
      </c>
      <c r="F1073" t="s">
        <v>893</v>
      </c>
      <c r="G1073" t="s">
        <v>895</v>
      </c>
    </row>
    <row r="1074" spans="2:7" hidden="1" x14ac:dyDescent="0.35">
      <c r="B1074" t="s">
        <v>120</v>
      </c>
      <c r="C1074">
        <v>1622</v>
      </c>
      <c r="D1074">
        <v>95</v>
      </c>
      <c r="E1074">
        <v>5</v>
      </c>
      <c r="F1074" t="s">
        <v>893</v>
      </c>
      <c r="G1074" t="s">
        <v>895</v>
      </c>
    </row>
    <row r="1075" spans="2:7" hidden="1" x14ac:dyDescent="0.35">
      <c r="B1075" t="s">
        <v>744</v>
      </c>
      <c r="C1075">
        <v>744</v>
      </c>
      <c r="D1075">
        <v>119</v>
      </c>
      <c r="E1075">
        <v>6</v>
      </c>
      <c r="F1075" t="s">
        <v>893</v>
      </c>
      <c r="G1075" t="s">
        <v>895</v>
      </c>
    </row>
    <row r="1076" spans="2:7" hidden="1" x14ac:dyDescent="0.35">
      <c r="B1076" t="s">
        <v>218</v>
      </c>
      <c r="C1076">
        <v>954</v>
      </c>
      <c r="D1076">
        <v>95</v>
      </c>
      <c r="E1076">
        <v>3</v>
      </c>
      <c r="F1076" t="s">
        <v>893</v>
      </c>
      <c r="G1076" t="s">
        <v>895</v>
      </c>
    </row>
    <row r="1077" spans="2:7" hidden="1" x14ac:dyDescent="0.35">
      <c r="B1077" t="s">
        <v>750</v>
      </c>
      <c r="C1077">
        <v>446</v>
      </c>
      <c r="D1077">
        <v>53</v>
      </c>
      <c r="E1077">
        <v>3</v>
      </c>
      <c r="F1077" t="s">
        <v>893</v>
      </c>
      <c r="G1077" t="s">
        <v>895</v>
      </c>
    </row>
    <row r="1078" spans="2:7" hidden="1" x14ac:dyDescent="0.35">
      <c r="B1078" t="s">
        <v>220</v>
      </c>
      <c r="C1078">
        <v>260</v>
      </c>
      <c r="D1078">
        <v>68</v>
      </c>
      <c r="E1078">
        <v>2</v>
      </c>
      <c r="F1078" t="s">
        <v>893</v>
      </c>
      <c r="G1078" t="s">
        <v>895</v>
      </c>
    </row>
    <row r="1079" spans="2:7" hidden="1" x14ac:dyDescent="0.35">
      <c r="B1079" t="s">
        <v>757</v>
      </c>
      <c r="C1079">
        <v>720</v>
      </c>
      <c r="D1079">
        <v>43</v>
      </c>
      <c r="E1079">
        <v>2</v>
      </c>
      <c r="F1079" t="s">
        <v>893</v>
      </c>
      <c r="G1079" t="s">
        <v>895</v>
      </c>
    </row>
    <row r="1080" spans="2:7" hidden="1" x14ac:dyDescent="0.35">
      <c r="B1080" t="s">
        <v>339</v>
      </c>
      <c r="C1080">
        <v>203</v>
      </c>
      <c r="D1080">
        <v>84</v>
      </c>
      <c r="E1080">
        <v>2</v>
      </c>
      <c r="F1080" t="s">
        <v>893</v>
      </c>
      <c r="G1080" t="s">
        <v>895</v>
      </c>
    </row>
    <row r="1081" spans="2:7" hidden="1" x14ac:dyDescent="0.35">
      <c r="B1081" t="s">
        <v>761</v>
      </c>
      <c r="C1081">
        <v>4141</v>
      </c>
      <c r="D1081">
        <v>1698</v>
      </c>
      <c r="E1081">
        <v>13</v>
      </c>
      <c r="F1081" t="s">
        <v>893</v>
      </c>
      <c r="G1081" t="s">
        <v>895</v>
      </c>
    </row>
    <row r="1082" spans="2:7" hidden="1" x14ac:dyDescent="0.35">
      <c r="B1082" t="s">
        <v>777</v>
      </c>
      <c r="C1082">
        <v>487</v>
      </c>
      <c r="D1082">
        <v>-23</v>
      </c>
      <c r="E1082">
        <v>3</v>
      </c>
      <c r="F1082" t="s">
        <v>893</v>
      </c>
      <c r="G1082" t="s">
        <v>895</v>
      </c>
    </row>
    <row r="1083" spans="2:7" hidden="1" x14ac:dyDescent="0.35">
      <c r="B1083" t="s">
        <v>786</v>
      </c>
      <c r="C1083">
        <v>610</v>
      </c>
      <c r="D1083">
        <v>208</v>
      </c>
      <c r="E1083">
        <v>3</v>
      </c>
      <c r="F1083" t="s">
        <v>893</v>
      </c>
      <c r="G1083" t="s">
        <v>895</v>
      </c>
    </row>
    <row r="1084" spans="2:7" hidden="1" x14ac:dyDescent="0.35">
      <c r="B1084" t="s">
        <v>786</v>
      </c>
      <c r="C1084">
        <v>173</v>
      </c>
      <c r="D1084">
        <v>86</v>
      </c>
      <c r="E1084">
        <v>1</v>
      </c>
      <c r="F1084" t="s">
        <v>893</v>
      </c>
      <c r="G1084" t="s">
        <v>895</v>
      </c>
    </row>
    <row r="1085" spans="2:7" hidden="1" x14ac:dyDescent="0.35">
      <c r="B1085" t="s">
        <v>798</v>
      </c>
      <c r="C1085">
        <v>676</v>
      </c>
      <c r="D1085">
        <v>151</v>
      </c>
      <c r="E1085">
        <v>3</v>
      </c>
      <c r="F1085" t="s">
        <v>893</v>
      </c>
      <c r="G1085" t="s">
        <v>895</v>
      </c>
    </row>
    <row r="1086" spans="2:7" hidden="1" x14ac:dyDescent="0.35">
      <c r="B1086" t="s">
        <v>811</v>
      </c>
      <c r="C1086">
        <v>285</v>
      </c>
      <c r="D1086">
        <v>128</v>
      </c>
      <c r="E1086">
        <v>2</v>
      </c>
      <c r="F1086" t="s">
        <v>893</v>
      </c>
      <c r="G1086" t="s">
        <v>895</v>
      </c>
    </row>
    <row r="1087" spans="2:7" hidden="1" x14ac:dyDescent="0.35">
      <c r="B1087" t="s">
        <v>223</v>
      </c>
      <c r="C1087">
        <v>291</v>
      </c>
      <c r="D1087">
        <v>93</v>
      </c>
      <c r="E1087">
        <v>2</v>
      </c>
      <c r="F1087" t="s">
        <v>893</v>
      </c>
      <c r="G1087" t="s">
        <v>895</v>
      </c>
    </row>
    <row r="1088" spans="2:7" hidden="1" x14ac:dyDescent="0.35">
      <c r="B1088" t="s">
        <v>843</v>
      </c>
      <c r="C1088">
        <v>382</v>
      </c>
      <c r="D1088">
        <v>92</v>
      </c>
      <c r="E1088">
        <v>2</v>
      </c>
      <c r="F1088" t="s">
        <v>893</v>
      </c>
      <c r="G1088" t="s">
        <v>895</v>
      </c>
    </row>
    <row r="1089" spans="2:7" hidden="1" x14ac:dyDescent="0.35">
      <c r="B1089" t="s">
        <v>844</v>
      </c>
      <c r="C1089">
        <v>1337</v>
      </c>
      <c r="D1089">
        <v>147</v>
      </c>
      <c r="E1089">
        <v>7</v>
      </c>
      <c r="F1089" t="s">
        <v>893</v>
      </c>
      <c r="G1089" t="s">
        <v>895</v>
      </c>
    </row>
    <row r="1090" spans="2:7" hidden="1" x14ac:dyDescent="0.35">
      <c r="B1090" t="s">
        <v>141</v>
      </c>
      <c r="C1090">
        <v>250</v>
      </c>
      <c r="D1090">
        <v>-12</v>
      </c>
      <c r="E1090">
        <v>2</v>
      </c>
      <c r="F1090" t="s">
        <v>893</v>
      </c>
      <c r="G1090" t="s">
        <v>895</v>
      </c>
    </row>
    <row r="1091" spans="2:7" hidden="1" x14ac:dyDescent="0.35">
      <c r="B1091" t="s">
        <v>848</v>
      </c>
      <c r="C1091">
        <v>736</v>
      </c>
      <c r="D1091">
        <v>346</v>
      </c>
      <c r="E1091">
        <v>5</v>
      </c>
      <c r="F1091" t="s">
        <v>893</v>
      </c>
      <c r="G1091" t="s">
        <v>895</v>
      </c>
    </row>
    <row r="1092" spans="2:7" hidden="1" x14ac:dyDescent="0.35">
      <c r="B1092" t="s">
        <v>142</v>
      </c>
      <c r="C1092">
        <v>965</v>
      </c>
      <c r="D1092">
        <v>-68</v>
      </c>
      <c r="E1092">
        <v>3</v>
      </c>
      <c r="F1092" t="s">
        <v>893</v>
      </c>
      <c r="G1092" t="s">
        <v>895</v>
      </c>
    </row>
    <row r="1093" spans="2:7" hidden="1" x14ac:dyDescent="0.35">
      <c r="B1093" t="s">
        <v>142</v>
      </c>
      <c r="C1093">
        <v>206</v>
      </c>
      <c r="D1093">
        <v>12</v>
      </c>
      <c r="E1093">
        <v>1</v>
      </c>
      <c r="F1093" t="s">
        <v>893</v>
      </c>
      <c r="G1093" t="s">
        <v>895</v>
      </c>
    </row>
    <row r="1094" spans="2:7" hidden="1" x14ac:dyDescent="0.35">
      <c r="B1094" t="s">
        <v>188</v>
      </c>
      <c r="C1094">
        <v>1137</v>
      </c>
      <c r="D1094">
        <v>-14</v>
      </c>
      <c r="E1094">
        <v>7</v>
      </c>
      <c r="F1094" t="s">
        <v>893</v>
      </c>
      <c r="G1094" t="s">
        <v>895</v>
      </c>
    </row>
    <row r="1095" spans="2:7" hidden="1" x14ac:dyDescent="0.35">
      <c r="B1095" t="s">
        <v>144</v>
      </c>
      <c r="C1095">
        <v>1514</v>
      </c>
      <c r="D1095">
        <v>742</v>
      </c>
      <c r="E1095">
        <v>4</v>
      </c>
      <c r="F1095" t="s">
        <v>893</v>
      </c>
      <c r="G1095" t="s">
        <v>895</v>
      </c>
    </row>
    <row r="1096" spans="2:7" hidden="1" x14ac:dyDescent="0.35">
      <c r="B1096" t="s">
        <v>867</v>
      </c>
      <c r="C1096">
        <v>762</v>
      </c>
      <c r="D1096">
        <v>101</v>
      </c>
      <c r="E1096">
        <v>6</v>
      </c>
      <c r="F1096" t="s">
        <v>893</v>
      </c>
      <c r="G1096" t="s">
        <v>895</v>
      </c>
    </row>
    <row r="1097" spans="2:7" hidden="1" x14ac:dyDescent="0.35">
      <c r="B1097" t="s">
        <v>227</v>
      </c>
      <c r="C1097">
        <v>2847</v>
      </c>
      <c r="D1097">
        <v>712</v>
      </c>
      <c r="E1097">
        <v>8</v>
      </c>
      <c r="F1097" t="s">
        <v>893</v>
      </c>
      <c r="G1097" t="s">
        <v>895</v>
      </c>
    </row>
    <row r="1098" spans="2:7" hidden="1" x14ac:dyDescent="0.35">
      <c r="B1098" t="s">
        <v>876</v>
      </c>
      <c r="C1098">
        <v>663</v>
      </c>
      <c r="D1098">
        <v>-212</v>
      </c>
      <c r="E1098">
        <v>5</v>
      </c>
      <c r="F1098" t="s">
        <v>893</v>
      </c>
      <c r="G1098" t="s">
        <v>895</v>
      </c>
    </row>
    <row r="1099" spans="2:7" hidden="1" x14ac:dyDescent="0.35">
      <c r="B1099" t="s">
        <v>351</v>
      </c>
      <c r="C1099">
        <v>80</v>
      </c>
      <c r="D1099">
        <v>-56</v>
      </c>
      <c r="E1099">
        <v>4</v>
      </c>
      <c r="F1099" t="s">
        <v>893</v>
      </c>
      <c r="G1099" t="s">
        <v>896</v>
      </c>
    </row>
    <row r="1100" spans="2:7" hidden="1" x14ac:dyDescent="0.35">
      <c r="B1100" t="s">
        <v>375</v>
      </c>
      <c r="C1100">
        <v>485</v>
      </c>
      <c r="D1100">
        <v>29</v>
      </c>
      <c r="E1100">
        <v>4</v>
      </c>
      <c r="F1100" t="s">
        <v>893</v>
      </c>
      <c r="G1100" t="s">
        <v>896</v>
      </c>
    </row>
    <row r="1101" spans="2:7" hidden="1" x14ac:dyDescent="0.35">
      <c r="B1101" t="s">
        <v>393</v>
      </c>
      <c r="C1101">
        <v>98</v>
      </c>
      <c r="D1101">
        <v>-12</v>
      </c>
      <c r="E1101">
        <v>2</v>
      </c>
      <c r="F1101" t="s">
        <v>893</v>
      </c>
      <c r="G1101" t="s">
        <v>896</v>
      </c>
    </row>
    <row r="1102" spans="2:7" hidden="1" x14ac:dyDescent="0.35">
      <c r="B1102" t="s">
        <v>404</v>
      </c>
      <c r="C1102">
        <v>305</v>
      </c>
      <c r="D1102">
        <v>-270</v>
      </c>
      <c r="E1102">
        <v>5</v>
      </c>
      <c r="F1102" t="s">
        <v>893</v>
      </c>
      <c r="G1102" t="s">
        <v>896</v>
      </c>
    </row>
    <row r="1103" spans="2:7" hidden="1" x14ac:dyDescent="0.35">
      <c r="B1103" t="s">
        <v>149</v>
      </c>
      <c r="C1103">
        <v>233</v>
      </c>
      <c r="D1103">
        <v>-10</v>
      </c>
      <c r="E1103">
        <v>5</v>
      </c>
      <c r="F1103" t="s">
        <v>893</v>
      </c>
      <c r="G1103" t="s">
        <v>896</v>
      </c>
    </row>
    <row r="1104" spans="2:7" hidden="1" x14ac:dyDescent="0.35">
      <c r="B1104" t="s">
        <v>149</v>
      </c>
      <c r="C1104">
        <v>228</v>
      </c>
      <c r="D1104">
        <v>63</v>
      </c>
      <c r="E1104">
        <v>3</v>
      </c>
      <c r="F1104" t="s">
        <v>893</v>
      </c>
      <c r="G1104" t="s">
        <v>896</v>
      </c>
    </row>
    <row r="1105" spans="2:7" hidden="1" x14ac:dyDescent="0.35">
      <c r="B1105" t="s">
        <v>443</v>
      </c>
      <c r="C1105">
        <v>263</v>
      </c>
      <c r="D1105">
        <v>-63</v>
      </c>
      <c r="E1105">
        <v>2</v>
      </c>
      <c r="F1105" t="s">
        <v>893</v>
      </c>
      <c r="G1105" t="s">
        <v>896</v>
      </c>
    </row>
    <row r="1106" spans="2:7" hidden="1" x14ac:dyDescent="0.35">
      <c r="B1106" t="s">
        <v>443</v>
      </c>
      <c r="C1106">
        <v>36</v>
      </c>
      <c r="D1106">
        <v>-7</v>
      </c>
      <c r="E1106">
        <v>1</v>
      </c>
      <c r="F1106" t="s">
        <v>893</v>
      </c>
      <c r="G1106" t="s">
        <v>896</v>
      </c>
    </row>
    <row r="1107" spans="2:7" hidden="1" x14ac:dyDescent="0.35">
      <c r="B1107" t="s">
        <v>235</v>
      </c>
      <c r="C1107">
        <v>925</v>
      </c>
      <c r="D1107">
        <v>-447</v>
      </c>
      <c r="E1107">
        <v>5</v>
      </c>
      <c r="F1107" t="s">
        <v>893</v>
      </c>
      <c r="G1107" t="s">
        <v>896</v>
      </c>
    </row>
    <row r="1108" spans="2:7" hidden="1" x14ac:dyDescent="0.35">
      <c r="B1108" t="s">
        <v>237</v>
      </c>
      <c r="C1108">
        <v>269</v>
      </c>
      <c r="D1108">
        <v>-86</v>
      </c>
      <c r="E1108">
        <v>2</v>
      </c>
      <c r="F1108" t="s">
        <v>893</v>
      </c>
      <c r="G1108" t="s">
        <v>896</v>
      </c>
    </row>
    <row r="1109" spans="2:7" hidden="1" x14ac:dyDescent="0.35">
      <c r="B1109" t="s">
        <v>199</v>
      </c>
      <c r="C1109">
        <v>624</v>
      </c>
      <c r="D1109">
        <v>37</v>
      </c>
      <c r="E1109">
        <v>2</v>
      </c>
      <c r="F1109" t="s">
        <v>893</v>
      </c>
      <c r="G1109" t="s">
        <v>896</v>
      </c>
    </row>
    <row r="1110" spans="2:7" hidden="1" x14ac:dyDescent="0.35">
      <c r="B1110" t="s">
        <v>153</v>
      </c>
      <c r="C1110">
        <v>1021</v>
      </c>
      <c r="D1110">
        <v>-48</v>
      </c>
      <c r="E1110">
        <v>4</v>
      </c>
      <c r="F1110" t="s">
        <v>893</v>
      </c>
      <c r="G1110" t="s">
        <v>896</v>
      </c>
    </row>
    <row r="1111" spans="2:7" hidden="1" x14ac:dyDescent="0.35">
      <c r="B1111" t="s">
        <v>239</v>
      </c>
      <c r="C1111">
        <v>86</v>
      </c>
      <c r="D1111">
        <v>-21</v>
      </c>
      <c r="E1111">
        <v>1</v>
      </c>
      <c r="F1111" t="s">
        <v>893</v>
      </c>
      <c r="G1111" t="s">
        <v>896</v>
      </c>
    </row>
    <row r="1112" spans="2:7" hidden="1" x14ac:dyDescent="0.35">
      <c r="B1112" t="s">
        <v>468</v>
      </c>
      <c r="C1112">
        <v>934</v>
      </c>
      <c r="D1112">
        <v>-916</v>
      </c>
      <c r="E1112">
        <v>7</v>
      </c>
      <c r="F1112" t="s">
        <v>893</v>
      </c>
      <c r="G1112" t="s">
        <v>896</v>
      </c>
    </row>
    <row r="1113" spans="2:7" hidden="1" x14ac:dyDescent="0.35">
      <c r="B1113" t="s">
        <v>481</v>
      </c>
      <c r="C1113">
        <v>342</v>
      </c>
      <c r="D1113">
        <v>-103</v>
      </c>
      <c r="E1113">
        <v>4</v>
      </c>
      <c r="F1113" t="s">
        <v>893</v>
      </c>
      <c r="G1113" t="s">
        <v>896</v>
      </c>
    </row>
    <row r="1114" spans="2:7" hidden="1" x14ac:dyDescent="0.35">
      <c r="B1114" t="s">
        <v>21</v>
      </c>
      <c r="C1114">
        <v>1096</v>
      </c>
      <c r="D1114">
        <v>-658</v>
      </c>
      <c r="E1114">
        <v>7</v>
      </c>
      <c r="F1114" t="s">
        <v>893</v>
      </c>
      <c r="G1114" t="s">
        <v>896</v>
      </c>
    </row>
    <row r="1115" spans="2:7" hidden="1" x14ac:dyDescent="0.35">
      <c r="B1115" t="s">
        <v>247</v>
      </c>
      <c r="C1115">
        <v>469</v>
      </c>
      <c r="D1115">
        <v>-459</v>
      </c>
      <c r="E1115">
        <v>3</v>
      </c>
      <c r="F1115" t="s">
        <v>893</v>
      </c>
      <c r="G1115" t="s">
        <v>896</v>
      </c>
    </row>
    <row r="1116" spans="2:7" hidden="1" x14ac:dyDescent="0.35">
      <c r="B1116" t="s">
        <v>35</v>
      </c>
      <c r="C1116">
        <v>46</v>
      </c>
      <c r="D1116">
        <v>0</v>
      </c>
      <c r="E1116">
        <v>2</v>
      </c>
      <c r="F1116" t="s">
        <v>893</v>
      </c>
      <c r="G1116" t="s">
        <v>896</v>
      </c>
    </row>
    <row r="1117" spans="2:7" hidden="1" x14ac:dyDescent="0.35">
      <c r="B1117" t="s">
        <v>260</v>
      </c>
      <c r="C1117">
        <v>76</v>
      </c>
      <c r="D1117">
        <v>-54</v>
      </c>
      <c r="E1117">
        <v>3</v>
      </c>
      <c r="F1117" t="s">
        <v>893</v>
      </c>
      <c r="G1117" t="s">
        <v>896</v>
      </c>
    </row>
    <row r="1118" spans="2:7" hidden="1" x14ac:dyDescent="0.35">
      <c r="B1118" t="s">
        <v>521</v>
      </c>
      <c r="C1118">
        <v>144</v>
      </c>
      <c r="D1118">
        <v>-7</v>
      </c>
      <c r="E1118">
        <v>4</v>
      </c>
      <c r="F1118" t="s">
        <v>893</v>
      </c>
      <c r="G1118" t="s">
        <v>896</v>
      </c>
    </row>
    <row r="1119" spans="2:7" hidden="1" x14ac:dyDescent="0.35">
      <c r="B1119" t="s">
        <v>45</v>
      </c>
      <c r="C1119">
        <v>108</v>
      </c>
      <c r="D1119">
        <v>-19</v>
      </c>
      <c r="E1119">
        <v>3</v>
      </c>
      <c r="F1119" t="s">
        <v>893</v>
      </c>
      <c r="G1119" t="s">
        <v>896</v>
      </c>
    </row>
    <row r="1120" spans="2:7" hidden="1" x14ac:dyDescent="0.35">
      <c r="B1120" t="s">
        <v>49</v>
      </c>
      <c r="C1120">
        <v>482</v>
      </c>
      <c r="D1120">
        <v>-6</v>
      </c>
      <c r="E1120">
        <v>7</v>
      </c>
      <c r="F1120" t="s">
        <v>893</v>
      </c>
      <c r="G1120" t="s">
        <v>896</v>
      </c>
    </row>
    <row r="1121" spans="2:7" hidden="1" x14ac:dyDescent="0.35">
      <c r="B1121" t="s">
        <v>540</v>
      </c>
      <c r="C1121">
        <v>47</v>
      </c>
      <c r="D1121">
        <v>-21</v>
      </c>
      <c r="E1121">
        <v>2</v>
      </c>
      <c r="F1121" t="s">
        <v>893</v>
      </c>
      <c r="G1121" t="s">
        <v>896</v>
      </c>
    </row>
    <row r="1122" spans="2:7" hidden="1" x14ac:dyDescent="0.35">
      <c r="B1122" t="s">
        <v>272</v>
      </c>
      <c r="C1122">
        <v>534</v>
      </c>
      <c r="D1122">
        <v>5</v>
      </c>
      <c r="E1122">
        <v>2</v>
      </c>
      <c r="F1122" t="s">
        <v>893</v>
      </c>
      <c r="G1122" t="s">
        <v>896</v>
      </c>
    </row>
    <row r="1123" spans="2:7" hidden="1" x14ac:dyDescent="0.35">
      <c r="B1123" t="s">
        <v>272</v>
      </c>
      <c r="C1123">
        <v>221</v>
      </c>
      <c r="D1123">
        <v>-15</v>
      </c>
      <c r="E1123">
        <v>2</v>
      </c>
      <c r="F1123" t="s">
        <v>893</v>
      </c>
      <c r="G1123" t="s">
        <v>896</v>
      </c>
    </row>
    <row r="1124" spans="2:7" hidden="1" x14ac:dyDescent="0.35">
      <c r="B1124" t="s">
        <v>53</v>
      </c>
      <c r="C1124">
        <v>761</v>
      </c>
      <c r="D1124">
        <v>266</v>
      </c>
      <c r="E1124">
        <v>9</v>
      </c>
      <c r="F1124" t="s">
        <v>893</v>
      </c>
      <c r="G1124" t="s">
        <v>896</v>
      </c>
    </row>
    <row r="1125" spans="2:7" hidden="1" x14ac:dyDescent="0.35">
      <c r="B1125" t="s">
        <v>276</v>
      </c>
      <c r="C1125">
        <v>328</v>
      </c>
      <c r="D1125">
        <v>-15</v>
      </c>
      <c r="E1125">
        <v>3</v>
      </c>
      <c r="F1125" t="s">
        <v>893</v>
      </c>
      <c r="G1125" t="s">
        <v>896</v>
      </c>
    </row>
    <row r="1126" spans="2:7" hidden="1" x14ac:dyDescent="0.35">
      <c r="B1126" t="s">
        <v>276</v>
      </c>
      <c r="C1126">
        <v>263</v>
      </c>
      <c r="D1126">
        <v>-31</v>
      </c>
      <c r="E1126">
        <v>9</v>
      </c>
      <c r="F1126" t="s">
        <v>893</v>
      </c>
      <c r="G1126" t="s">
        <v>896</v>
      </c>
    </row>
    <row r="1127" spans="2:7" hidden="1" x14ac:dyDescent="0.35">
      <c r="B1127" t="s">
        <v>57</v>
      </c>
      <c r="C1127">
        <v>1316</v>
      </c>
      <c r="D1127">
        <v>-527</v>
      </c>
      <c r="E1127">
        <v>7</v>
      </c>
      <c r="F1127" t="s">
        <v>893</v>
      </c>
      <c r="G1127" t="s">
        <v>896</v>
      </c>
    </row>
    <row r="1128" spans="2:7" hidden="1" x14ac:dyDescent="0.35">
      <c r="B1128" t="s">
        <v>553</v>
      </c>
      <c r="C1128">
        <v>299</v>
      </c>
      <c r="D1128">
        <v>-28</v>
      </c>
      <c r="E1128">
        <v>3</v>
      </c>
      <c r="F1128" t="s">
        <v>893</v>
      </c>
      <c r="G1128" t="s">
        <v>896</v>
      </c>
    </row>
    <row r="1129" spans="2:7" hidden="1" x14ac:dyDescent="0.35">
      <c r="B1129" t="s">
        <v>560</v>
      </c>
      <c r="C1129">
        <v>209</v>
      </c>
      <c r="D1129">
        <v>-21</v>
      </c>
      <c r="E1129">
        <v>2</v>
      </c>
      <c r="F1129" t="s">
        <v>893</v>
      </c>
      <c r="G1129" t="s">
        <v>896</v>
      </c>
    </row>
    <row r="1130" spans="2:7" hidden="1" x14ac:dyDescent="0.35">
      <c r="B1130" t="s">
        <v>282</v>
      </c>
      <c r="C1130">
        <v>724</v>
      </c>
      <c r="D1130">
        <v>-447</v>
      </c>
      <c r="E1130">
        <v>4</v>
      </c>
      <c r="F1130" t="s">
        <v>893</v>
      </c>
      <c r="G1130" t="s">
        <v>896</v>
      </c>
    </row>
    <row r="1131" spans="2:7" hidden="1" x14ac:dyDescent="0.35">
      <c r="B1131" t="s">
        <v>578</v>
      </c>
      <c r="C1131">
        <v>42</v>
      </c>
      <c r="D1131">
        <v>-3</v>
      </c>
      <c r="E1131">
        <v>1</v>
      </c>
      <c r="F1131" t="s">
        <v>893</v>
      </c>
      <c r="G1131" t="s">
        <v>896</v>
      </c>
    </row>
    <row r="1132" spans="2:7" hidden="1" x14ac:dyDescent="0.35">
      <c r="B1132" t="s">
        <v>71</v>
      </c>
      <c r="C1132">
        <v>269</v>
      </c>
      <c r="D1132">
        <v>91</v>
      </c>
      <c r="E1132">
        <v>1</v>
      </c>
      <c r="F1132" t="s">
        <v>893</v>
      </c>
      <c r="G1132" t="s">
        <v>896</v>
      </c>
    </row>
    <row r="1133" spans="2:7" hidden="1" x14ac:dyDescent="0.35">
      <c r="B1133" t="s">
        <v>593</v>
      </c>
      <c r="C1133">
        <v>146</v>
      </c>
      <c r="D1133">
        <v>-63</v>
      </c>
      <c r="E1133">
        <v>3</v>
      </c>
      <c r="F1133" t="s">
        <v>893</v>
      </c>
      <c r="G1133" t="s">
        <v>896</v>
      </c>
    </row>
    <row r="1134" spans="2:7" hidden="1" x14ac:dyDescent="0.35">
      <c r="B1134" t="s">
        <v>168</v>
      </c>
      <c r="C1134">
        <v>417</v>
      </c>
      <c r="D1134">
        <v>49</v>
      </c>
      <c r="E1134">
        <v>3</v>
      </c>
      <c r="F1134" t="s">
        <v>893</v>
      </c>
      <c r="G1134" t="s">
        <v>896</v>
      </c>
    </row>
    <row r="1135" spans="2:7" hidden="1" x14ac:dyDescent="0.35">
      <c r="B1135" t="s">
        <v>298</v>
      </c>
      <c r="C1135">
        <v>2103</v>
      </c>
      <c r="D1135">
        <v>322</v>
      </c>
      <c r="E1135">
        <v>8</v>
      </c>
      <c r="F1135" t="s">
        <v>893</v>
      </c>
      <c r="G1135" t="s">
        <v>896</v>
      </c>
    </row>
    <row r="1136" spans="2:7" hidden="1" x14ac:dyDescent="0.35">
      <c r="B1136" t="s">
        <v>628</v>
      </c>
      <c r="C1136">
        <v>648</v>
      </c>
      <c r="D1136">
        <v>50</v>
      </c>
      <c r="E1136">
        <v>6</v>
      </c>
      <c r="F1136" t="s">
        <v>893</v>
      </c>
      <c r="G1136" t="s">
        <v>896</v>
      </c>
    </row>
    <row r="1137" spans="2:7" hidden="1" x14ac:dyDescent="0.35">
      <c r="B1137" t="s">
        <v>170</v>
      </c>
      <c r="C1137">
        <v>442</v>
      </c>
      <c r="D1137">
        <v>31</v>
      </c>
      <c r="E1137">
        <v>2</v>
      </c>
      <c r="F1137" t="s">
        <v>893</v>
      </c>
      <c r="G1137" t="s">
        <v>896</v>
      </c>
    </row>
    <row r="1138" spans="2:7" hidden="1" x14ac:dyDescent="0.35">
      <c r="B1138" t="s">
        <v>310</v>
      </c>
      <c r="C1138">
        <v>2457</v>
      </c>
      <c r="D1138">
        <v>665</v>
      </c>
      <c r="E1138">
        <v>11</v>
      </c>
      <c r="F1138" t="s">
        <v>893</v>
      </c>
      <c r="G1138" t="s">
        <v>896</v>
      </c>
    </row>
    <row r="1139" spans="2:7" hidden="1" x14ac:dyDescent="0.35">
      <c r="B1139" t="s">
        <v>639</v>
      </c>
      <c r="C1139">
        <v>216</v>
      </c>
      <c r="D1139">
        <v>-83</v>
      </c>
      <c r="E1139">
        <v>3</v>
      </c>
      <c r="F1139" t="s">
        <v>893</v>
      </c>
      <c r="G1139" t="s">
        <v>896</v>
      </c>
    </row>
    <row r="1140" spans="2:7" hidden="1" x14ac:dyDescent="0.35">
      <c r="B1140" t="s">
        <v>99</v>
      </c>
      <c r="C1140">
        <v>367</v>
      </c>
      <c r="D1140">
        <v>73</v>
      </c>
      <c r="E1140">
        <v>3</v>
      </c>
      <c r="F1140" t="s">
        <v>893</v>
      </c>
      <c r="G1140" t="s">
        <v>896</v>
      </c>
    </row>
    <row r="1141" spans="2:7" hidden="1" x14ac:dyDescent="0.35">
      <c r="B1141" t="s">
        <v>668</v>
      </c>
      <c r="C1141">
        <v>1351</v>
      </c>
      <c r="D1141">
        <v>111</v>
      </c>
      <c r="E1141">
        <v>6</v>
      </c>
      <c r="F1141" t="s">
        <v>893</v>
      </c>
      <c r="G1141" t="s">
        <v>896</v>
      </c>
    </row>
    <row r="1142" spans="2:7" hidden="1" x14ac:dyDescent="0.35">
      <c r="B1142" t="s">
        <v>677</v>
      </c>
      <c r="C1142">
        <v>646</v>
      </c>
      <c r="D1142">
        <v>213</v>
      </c>
      <c r="E1142">
        <v>3</v>
      </c>
      <c r="F1142" t="s">
        <v>893</v>
      </c>
      <c r="G1142" t="s">
        <v>896</v>
      </c>
    </row>
    <row r="1143" spans="2:7" hidden="1" x14ac:dyDescent="0.35">
      <c r="B1143" t="s">
        <v>106</v>
      </c>
      <c r="C1143">
        <v>734</v>
      </c>
      <c r="D1143">
        <v>213</v>
      </c>
      <c r="E1143">
        <v>6</v>
      </c>
      <c r="F1143" t="s">
        <v>893</v>
      </c>
      <c r="G1143" t="s">
        <v>896</v>
      </c>
    </row>
    <row r="1144" spans="2:7" hidden="1" x14ac:dyDescent="0.35">
      <c r="B1144" t="s">
        <v>686</v>
      </c>
      <c r="C1144">
        <v>171</v>
      </c>
      <c r="D1144">
        <v>2</v>
      </c>
      <c r="E1144">
        <v>2</v>
      </c>
      <c r="F1144" t="s">
        <v>893</v>
      </c>
      <c r="G1144" t="s">
        <v>896</v>
      </c>
    </row>
    <row r="1145" spans="2:7" hidden="1" x14ac:dyDescent="0.35">
      <c r="B1145" t="s">
        <v>697</v>
      </c>
      <c r="C1145">
        <v>850</v>
      </c>
      <c r="D1145">
        <v>289</v>
      </c>
      <c r="E1145">
        <v>5</v>
      </c>
      <c r="F1145" t="s">
        <v>893</v>
      </c>
      <c r="G1145" t="s">
        <v>896</v>
      </c>
    </row>
    <row r="1146" spans="2:7" hidden="1" x14ac:dyDescent="0.35">
      <c r="B1146" t="s">
        <v>703</v>
      </c>
      <c r="C1146">
        <v>277</v>
      </c>
      <c r="D1146">
        <v>3</v>
      </c>
      <c r="E1146">
        <v>1</v>
      </c>
      <c r="F1146" t="s">
        <v>893</v>
      </c>
      <c r="G1146" t="s">
        <v>896</v>
      </c>
    </row>
    <row r="1147" spans="2:7" hidden="1" x14ac:dyDescent="0.35">
      <c r="B1147" t="s">
        <v>707</v>
      </c>
      <c r="C1147">
        <v>1599</v>
      </c>
      <c r="D1147">
        <v>37</v>
      </c>
      <c r="E1147">
        <v>6</v>
      </c>
      <c r="F1147" t="s">
        <v>893</v>
      </c>
      <c r="G1147" t="s">
        <v>896</v>
      </c>
    </row>
    <row r="1148" spans="2:7" hidden="1" x14ac:dyDescent="0.35">
      <c r="B1148" t="s">
        <v>329</v>
      </c>
      <c r="C1148">
        <v>314</v>
      </c>
      <c r="D1148">
        <v>-41</v>
      </c>
      <c r="E1148">
        <v>3</v>
      </c>
      <c r="F1148" t="s">
        <v>893</v>
      </c>
      <c r="G1148" t="s">
        <v>896</v>
      </c>
    </row>
    <row r="1149" spans="2:7" hidden="1" x14ac:dyDescent="0.35">
      <c r="B1149" t="s">
        <v>717</v>
      </c>
      <c r="C1149">
        <v>200</v>
      </c>
      <c r="D1149">
        <v>7</v>
      </c>
      <c r="E1149">
        <v>4</v>
      </c>
      <c r="F1149" t="s">
        <v>893</v>
      </c>
      <c r="G1149" t="s">
        <v>896</v>
      </c>
    </row>
    <row r="1150" spans="2:7" hidden="1" x14ac:dyDescent="0.35">
      <c r="B1150" t="s">
        <v>722</v>
      </c>
      <c r="C1150">
        <v>351</v>
      </c>
      <c r="D1150">
        <v>-94</v>
      </c>
      <c r="E1150">
        <v>5</v>
      </c>
      <c r="F1150" t="s">
        <v>893</v>
      </c>
      <c r="G1150" t="s">
        <v>896</v>
      </c>
    </row>
    <row r="1151" spans="2:7" hidden="1" x14ac:dyDescent="0.35">
      <c r="B1151" t="s">
        <v>730</v>
      </c>
      <c r="C1151">
        <v>469</v>
      </c>
      <c r="D1151">
        <v>33</v>
      </c>
      <c r="E1151">
        <v>4</v>
      </c>
      <c r="F1151" t="s">
        <v>893</v>
      </c>
      <c r="G1151" t="s">
        <v>896</v>
      </c>
    </row>
    <row r="1152" spans="2:7" hidden="1" x14ac:dyDescent="0.35">
      <c r="B1152" t="s">
        <v>118</v>
      </c>
      <c r="C1152">
        <v>765</v>
      </c>
      <c r="D1152">
        <v>-36</v>
      </c>
      <c r="E1152">
        <v>3</v>
      </c>
      <c r="F1152" t="s">
        <v>893</v>
      </c>
      <c r="G1152" t="s">
        <v>896</v>
      </c>
    </row>
    <row r="1153" spans="2:7" hidden="1" x14ac:dyDescent="0.35">
      <c r="B1153" t="s">
        <v>742</v>
      </c>
      <c r="C1153">
        <v>50</v>
      </c>
      <c r="D1153">
        <v>14</v>
      </c>
      <c r="E1153">
        <v>1</v>
      </c>
      <c r="F1153" t="s">
        <v>893</v>
      </c>
      <c r="G1153" t="s">
        <v>896</v>
      </c>
    </row>
    <row r="1154" spans="2:7" hidden="1" x14ac:dyDescent="0.35">
      <c r="B1154" t="s">
        <v>122</v>
      </c>
      <c r="C1154">
        <v>935</v>
      </c>
      <c r="D1154">
        <v>114</v>
      </c>
      <c r="E1154">
        <v>4</v>
      </c>
      <c r="F1154" t="s">
        <v>893</v>
      </c>
      <c r="G1154" t="s">
        <v>896</v>
      </c>
    </row>
    <row r="1155" spans="2:7" hidden="1" x14ac:dyDescent="0.35">
      <c r="B1155" t="s">
        <v>744</v>
      </c>
      <c r="C1155">
        <v>188</v>
      </c>
      <c r="D1155">
        <v>-193</v>
      </c>
      <c r="E1155">
        <v>2</v>
      </c>
      <c r="F1155" t="s">
        <v>893</v>
      </c>
      <c r="G1155" t="s">
        <v>896</v>
      </c>
    </row>
    <row r="1156" spans="2:7" hidden="1" x14ac:dyDescent="0.35">
      <c r="B1156" t="s">
        <v>745</v>
      </c>
      <c r="C1156">
        <v>524</v>
      </c>
      <c r="D1156">
        <v>-25</v>
      </c>
      <c r="E1156">
        <v>2</v>
      </c>
      <c r="F1156" t="s">
        <v>893</v>
      </c>
      <c r="G1156" t="s">
        <v>896</v>
      </c>
    </row>
    <row r="1157" spans="2:7" hidden="1" x14ac:dyDescent="0.35">
      <c r="B1157" t="s">
        <v>745</v>
      </c>
      <c r="C1157">
        <v>148</v>
      </c>
      <c r="D1157">
        <v>9</v>
      </c>
      <c r="E1157">
        <v>1</v>
      </c>
      <c r="F1157" t="s">
        <v>893</v>
      </c>
      <c r="G1157" t="s">
        <v>896</v>
      </c>
    </row>
    <row r="1158" spans="2:7" hidden="1" x14ac:dyDescent="0.35">
      <c r="B1158" t="s">
        <v>220</v>
      </c>
      <c r="C1158">
        <v>312</v>
      </c>
      <c r="D1158">
        <v>62</v>
      </c>
      <c r="E1158">
        <v>1</v>
      </c>
      <c r="F1158" t="s">
        <v>893</v>
      </c>
      <c r="G1158" t="s">
        <v>896</v>
      </c>
    </row>
    <row r="1159" spans="2:7" hidden="1" x14ac:dyDescent="0.35">
      <c r="B1159" t="s">
        <v>128</v>
      </c>
      <c r="C1159">
        <v>1270</v>
      </c>
      <c r="D1159">
        <v>546</v>
      </c>
      <c r="E1159">
        <v>11</v>
      </c>
      <c r="F1159" t="s">
        <v>893</v>
      </c>
      <c r="G1159" t="s">
        <v>896</v>
      </c>
    </row>
    <row r="1160" spans="2:7" hidden="1" x14ac:dyDescent="0.35">
      <c r="B1160" t="s">
        <v>753</v>
      </c>
      <c r="C1160">
        <v>510</v>
      </c>
      <c r="D1160">
        <v>234</v>
      </c>
      <c r="E1160">
        <v>6</v>
      </c>
      <c r="F1160" t="s">
        <v>893</v>
      </c>
      <c r="G1160" t="s">
        <v>896</v>
      </c>
    </row>
    <row r="1161" spans="2:7" hidden="1" x14ac:dyDescent="0.35">
      <c r="B1161" t="s">
        <v>341</v>
      </c>
      <c r="C1161">
        <v>1063</v>
      </c>
      <c r="D1161">
        <v>-175</v>
      </c>
      <c r="E1161">
        <v>4</v>
      </c>
      <c r="F1161" t="s">
        <v>893</v>
      </c>
      <c r="G1161" t="s">
        <v>896</v>
      </c>
    </row>
    <row r="1162" spans="2:7" hidden="1" x14ac:dyDescent="0.35">
      <c r="B1162" t="s">
        <v>777</v>
      </c>
      <c r="C1162">
        <v>918</v>
      </c>
      <c r="D1162">
        <v>22</v>
      </c>
      <c r="E1162">
        <v>9</v>
      </c>
      <c r="F1162" t="s">
        <v>893</v>
      </c>
      <c r="G1162" t="s">
        <v>896</v>
      </c>
    </row>
    <row r="1163" spans="2:7" hidden="1" x14ac:dyDescent="0.35">
      <c r="B1163" t="s">
        <v>137</v>
      </c>
      <c r="C1163">
        <v>231</v>
      </c>
      <c r="D1163">
        <v>99</v>
      </c>
      <c r="E1163">
        <v>2</v>
      </c>
      <c r="F1163" t="s">
        <v>893</v>
      </c>
      <c r="G1163" t="s">
        <v>896</v>
      </c>
    </row>
    <row r="1164" spans="2:7" hidden="1" x14ac:dyDescent="0.35">
      <c r="B1164" t="s">
        <v>796</v>
      </c>
      <c r="C1164">
        <v>51</v>
      </c>
      <c r="D1164">
        <v>-49</v>
      </c>
      <c r="E1164">
        <v>2</v>
      </c>
      <c r="F1164" t="s">
        <v>893</v>
      </c>
      <c r="G1164" t="s">
        <v>896</v>
      </c>
    </row>
    <row r="1165" spans="2:7" hidden="1" x14ac:dyDescent="0.35">
      <c r="B1165" t="s">
        <v>802</v>
      </c>
      <c r="C1165">
        <v>162</v>
      </c>
      <c r="D1165">
        <v>73</v>
      </c>
      <c r="E1165">
        <v>2</v>
      </c>
      <c r="F1165" t="s">
        <v>893</v>
      </c>
      <c r="G1165" t="s">
        <v>896</v>
      </c>
    </row>
    <row r="1166" spans="2:7" hidden="1" x14ac:dyDescent="0.35">
      <c r="B1166" t="s">
        <v>812</v>
      </c>
      <c r="C1166">
        <v>527</v>
      </c>
      <c r="D1166">
        <v>26</v>
      </c>
      <c r="E1166">
        <v>3</v>
      </c>
      <c r="F1166" t="s">
        <v>893</v>
      </c>
      <c r="G1166" t="s">
        <v>896</v>
      </c>
    </row>
    <row r="1167" spans="2:7" hidden="1" x14ac:dyDescent="0.35">
      <c r="B1167" t="s">
        <v>817</v>
      </c>
      <c r="C1167">
        <v>429</v>
      </c>
      <c r="D1167">
        <v>61</v>
      </c>
      <c r="E1167">
        <v>3</v>
      </c>
      <c r="F1167" t="s">
        <v>893</v>
      </c>
      <c r="G1167" t="s">
        <v>896</v>
      </c>
    </row>
    <row r="1168" spans="2:7" hidden="1" x14ac:dyDescent="0.35">
      <c r="B1168" t="s">
        <v>817</v>
      </c>
      <c r="C1168">
        <v>134</v>
      </c>
      <c r="D1168">
        <v>-13</v>
      </c>
      <c r="E1168">
        <v>3</v>
      </c>
      <c r="F1168" t="s">
        <v>893</v>
      </c>
      <c r="G1168" t="s">
        <v>896</v>
      </c>
    </row>
    <row r="1169" spans="2:7" hidden="1" x14ac:dyDescent="0.35">
      <c r="B1169" t="s">
        <v>834</v>
      </c>
      <c r="C1169">
        <v>369</v>
      </c>
      <c r="D1169">
        <v>15</v>
      </c>
      <c r="E1169">
        <v>3</v>
      </c>
      <c r="F1169" t="s">
        <v>893</v>
      </c>
      <c r="G1169" t="s">
        <v>896</v>
      </c>
    </row>
    <row r="1170" spans="2:7" hidden="1" x14ac:dyDescent="0.35">
      <c r="B1170" t="s">
        <v>844</v>
      </c>
      <c r="C1170">
        <v>600</v>
      </c>
      <c r="D1170">
        <v>102</v>
      </c>
      <c r="E1170">
        <v>5</v>
      </c>
      <c r="F1170" t="s">
        <v>893</v>
      </c>
      <c r="G1170" t="s">
        <v>896</v>
      </c>
    </row>
    <row r="1171" spans="2:7" hidden="1" x14ac:dyDescent="0.35">
      <c r="B1171" t="s">
        <v>345</v>
      </c>
      <c r="C1171">
        <v>559</v>
      </c>
      <c r="D1171">
        <v>174</v>
      </c>
      <c r="E1171">
        <v>2</v>
      </c>
      <c r="F1171" t="s">
        <v>893</v>
      </c>
      <c r="G1171" t="s">
        <v>896</v>
      </c>
    </row>
    <row r="1172" spans="2:7" hidden="1" x14ac:dyDescent="0.35">
      <c r="B1172" t="s">
        <v>852</v>
      </c>
      <c r="C1172">
        <v>241</v>
      </c>
      <c r="D1172">
        <v>-77</v>
      </c>
      <c r="E1172">
        <v>4</v>
      </c>
      <c r="F1172" t="s">
        <v>893</v>
      </c>
      <c r="G1172" t="s">
        <v>896</v>
      </c>
    </row>
    <row r="1173" spans="2:7" hidden="1" x14ac:dyDescent="0.35">
      <c r="B1173" t="s">
        <v>349</v>
      </c>
      <c r="C1173">
        <v>313</v>
      </c>
      <c r="D1173">
        <v>44</v>
      </c>
      <c r="E1173">
        <v>3</v>
      </c>
      <c r="F1173" t="s">
        <v>893</v>
      </c>
      <c r="G1173" t="s">
        <v>896</v>
      </c>
    </row>
    <row r="1174" spans="2:7" hidden="1" x14ac:dyDescent="0.35">
      <c r="B1174" t="s">
        <v>859</v>
      </c>
      <c r="C1174">
        <v>557</v>
      </c>
      <c r="D1174">
        <v>111</v>
      </c>
      <c r="E1174">
        <v>2</v>
      </c>
      <c r="F1174" t="s">
        <v>893</v>
      </c>
      <c r="G1174" t="s">
        <v>896</v>
      </c>
    </row>
    <row r="1175" spans="2:7" hidden="1" x14ac:dyDescent="0.35">
      <c r="B1175" t="s">
        <v>865</v>
      </c>
      <c r="C1175">
        <v>209</v>
      </c>
      <c r="D1175">
        <v>-63</v>
      </c>
      <c r="E1175">
        <v>4</v>
      </c>
      <c r="F1175" t="s">
        <v>893</v>
      </c>
      <c r="G1175" t="s">
        <v>896</v>
      </c>
    </row>
    <row r="1176" spans="2:7" hidden="1" x14ac:dyDescent="0.35">
      <c r="B1176" t="s">
        <v>868</v>
      </c>
      <c r="C1176">
        <v>311</v>
      </c>
      <c r="D1176">
        <v>40</v>
      </c>
      <c r="E1176">
        <v>1</v>
      </c>
      <c r="F1176" t="s">
        <v>893</v>
      </c>
      <c r="G1176" t="s">
        <v>896</v>
      </c>
    </row>
    <row r="1177" spans="2:7" hidden="1" x14ac:dyDescent="0.35">
      <c r="B1177" t="s">
        <v>876</v>
      </c>
      <c r="C1177">
        <v>671</v>
      </c>
      <c r="D1177">
        <v>-309</v>
      </c>
      <c r="E1177">
        <v>5</v>
      </c>
      <c r="F1177" t="s">
        <v>893</v>
      </c>
      <c r="G1177" t="s">
        <v>896</v>
      </c>
    </row>
    <row r="1178" spans="2:7" hidden="1" x14ac:dyDescent="0.35">
      <c r="B1178" t="s">
        <v>191</v>
      </c>
      <c r="C1178">
        <v>168</v>
      </c>
      <c r="D1178">
        <v>-111</v>
      </c>
      <c r="E1178">
        <v>2</v>
      </c>
      <c r="F1178" t="s">
        <v>893</v>
      </c>
      <c r="G1178" t="s">
        <v>897</v>
      </c>
    </row>
    <row r="1179" spans="2:7" hidden="1" x14ac:dyDescent="0.35">
      <c r="B1179" t="s">
        <v>191</v>
      </c>
      <c r="C1179">
        <v>424</v>
      </c>
      <c r="D1179">
        <v>-272</v>
      </c>
      <c r="E1179">
        <v>5</v>
      </c>
      <c r="F1179" t="s">
        <v>893</v>
      </c>
      <c r="G1179" t="s">
        <v>897</v>
      </c>
    </row>
    <row r="1180" spans="2:7" hidden="1" x14ac:dyDescent="0.35">
      <c r="B1180" t="s">
        <v>191</v>
      </c>
      <c r="C1180">
        <v>2617</v>
      </c>
      <c r="D1180">
        <v>1151</v>
      </c>
      <c r="E1180">
        <v>4</v>
      </c>
      <c r="F1180" t="s">
        <v>893</v>
      </c>
      <c r="G1180" t="s">
        <v>897</v>
      </c>
    </row>
    <row r="1181" spans="2:7" hidden="1" x14ac:dyDescent="0.35">
      <c r="B1181" t="s">
        <v>149</v>
      </c>
      <c r="C1181">
        <v>333</v>
      </c>
      <c r="D1181">
        <v>-15</v>
      </c>
      <c r="E1181">
        <v>3</v>
      </c>
      <c r="F1181" t="s">
        <v>893</v>
      </c>
      <c r="G1181" t="s">
        <v>897</v>
      </c>
    </row>
    <row r="1182" spans="2:7" hidden="1" x14ac:dyDescent="0.35">
      <c r="B1182" t="s">
        <v>228</v>
      </c>
      <c r="C1182">
        <v>46</v>
      </c>
      <c r="D1182">
        <v>-14</v>
      </c>
      <c r="E1182">
        <v>1</v>
      </c>
      <c r="F1182" t="s">
        <v>893</v>
      </c>
      <c r="G1182" t="s">
        <v>897</v>
      </c>
    </row>
    <row r="1183" spans="2:7" hidden="1" x14ac:dyDescent="0.35">
      <c r="B1183" t="s">
        <v>426</v>
      </c>
      <c r="C1183">
        <v>143</v>
      </c>
      <c r="D1183">
        <v>-129</v>
      </c>
      <c r="E1183">
        <v>2</v>
      </c>
      <c r="F1183" t="s">
        <v>893</v>
      </c>
      <c r="G1183" t="s">
        <v>897</v>
      </c>
    </row>
    <row r="1184" spans="2:7" hidden="1" x14ac:dyDescent="0.35">
      <c r="B1184" t="s">
        <v>432</v>
      </c>
      <c r="C1184">
        <v>249</v>
      </c>
      <c r="D1184">
        <v>-130</v>
      </c>
      <c r="E1184">
        <v>4</v>
      </c>
      <c r="F1184" t="s">
        <v>893</v>
      </c>
      <c r="G1184" t="s">
        <v>897</v>
      </c>
    </row>
    <row r="1185" spans="2:7" hidden="1" x14ac:dyDescent="0.35">
      <c r="B1185" t="s">
        <v>151</v>
      </c>
      <c r="C1185">
        <v>1629</v>
      </c>
      <c r="D1185">
        <v>-153</v>
      </c>
      <c r="E1185">
        <v>3</v>
      </c>
      <c r="F1185" t="s">
        <v>893</v>
      </c>
      <c r="G1185" t="s">
        <v>897</v>
      </c>
    </row>
    <row r="1186" spans="2:7" hidden="1" x14ac:dyDescent="0.35">
      <c r="B1186" t="s">
        <v>11</v>
      </c>
      <c r="C1186">
        <v>273</v>
      </c>
      <c r="D1186">
        <v>-87</v>
      </c>
      <c r="E1186">
        <v>4</v>
      </c>
      <c r="F1186" t="s">
        <v>893</v>
      </c>
      <c r="G1186" t="s">
        <v>897</v>
      </c>
    </row>
    <row r="1187" spans="2:7" hidden="1" x14ac:dyDescent="0.35">
      <c r="B1187" t="s">
        <v>11</v>
      </c>
      <c r="C1187">
        <v>183</v>
      </c>
      <c r="D1187">
        <v>-66</v>
      </c>
      <c r="E1187">
        <v>5</v>
      </c>
      <c r="F1187" t="s">
        <v>893</v>
      </c>
      <c r="G1187" t="s">
        <v>897</v>
      </c>
    </row>
    <row r="1188" spans="2:7" hidden="1" x14ac:dyDescent="0.35">
      <c r="B1188" t="s">
        <v>449</v>
      </c>
      <c r="C1188">
        <v>100</v>
      </c>
      <c r="D1188">
        <v>-23</v>
      </c>
      <c r="E1188">
        <v>1</v>
      </c>
      <c r="F1188" t="s">
        <v>893</v>
      </c>
      <c r="G1188" t="s">
        <v>897</v>
      </c>
    </row>
    <row r="1189" spans="2:7" hidden="1" x14ac:dyDescent="0.35">
      <c r="B1189" t="s">
        <v>235</v>
      </c>
      <c r="C1189">
        <v>351</v>
      </c>
      <c r="D1189">
        <v>-47</v>
      </c>
      <c r="E1189">
        <v>8</v>
      </c>
      <c r="F1189" t="s">
        <v>893</v>
      </c>
      <c r="G1189" t="s">
        <v>897</v>
      </c>
    </row>
    <row r="1190" spans="2:7" hidden="1" x14ac:dyDescent="0.35">
      <c r="B1190" t="s">
        <v>455</v>
      </c>
      <c r="C1190">
        <v>427</v>
      </c>
      <c r="D1190">
        <v>-50</v>
      </c>
      <c r="E1190">
        <v>7</v>
      </c>
      <c r="F1190" t="s">
        <v>893</v>
      </c>
      <c r="G1190" t="s">
        <v>897</v>
      </c>
    </row>
    <row r="1191" spans="2:7" hidden="1" x14ac:dyDescent="0.35">
      <c r="B1191" t="s">
        <v>455</v>
      </c>
      <c r="C1191">
        <v>195</v>
      </c>
      <c r="D1191">
        <v>-117</v>
      </c>
      <c r="E1191">
        <v>5</v>
      </c>
      <c r="F1191" t="s">
        <v>893</v>
      </c>
      <c r="G1191" t="s">
        <v>897</v>
      </c>
    </row>
    <row r="1192" spans="2:7" hidden="1" x14ac:dyDescent="0.35">
      <c r="B1192" t="s">
        <v>153</v>
      </c>
      <c r="C1192">
        <v>332</v>
      </c>
      <c r="D1192">
        <v>-43</v>
      </c>
      <c r="E1192">
        <v>6</v>
      </c>
      <c r="F1192" t="s">
        <v>893</v>
      </c>
      <c r="G1192" t="s">
        <v>897</v>
      </c>
    </row>
    <row r="1193" spans="2:7" hidden="1" x14ac:dyDescent="0.35">
      <c r="B1193" t="s">
        <v>464</v>
      </c>
      <c r="C1193">
        <v>444</v>
      </c>
      <c r="D1193">
        <v>-200</v>
      </c>
      <c r="E1193">
        <v>4</v>
      </c>
      <c r="F1193" t="s">
        <v>893</v>
      </c>
      <c r="G1193" t="s">
        <v>897</v>
      </c>
    </row>
    <row r="1194" spans="2:7" hidden="1" x14ac:dyDescent="0.35">
      <c r="B1194" t="s">
        <v>464</v>
      </c>
      <c r="C1194">
        <v>785</v>
      </c>
      <c r="D1194">
        <v>52</v>
      </c>
      <c r="E1194">
        <v>2</v>
      </c>
      <c r="F1194" t="s">
        <v>893</v>
      </c>
      <c r="G1194" t="s">
        <v>897</v>
      </c>
    </row>
    <row r="1195" spans="2:7" hidden="1" x14ac:dyDescent="0.35">
      <c r="B1195" t="s">
        <v>464</v>
      </c>
      <c r="C1195">
        <v>258</v>
      </c>
      <c r="D1195">
        <v>-27</v>
      </c>
      <c r="E1195">
        <v>2</v>
      </c>
      <c r="F1195" t="s">
        <v>893</v>
      </c>
      <c r="G1195" t="s">
        <v>897</v>
      </c>
    </row>
    <row r="1196" spans="2:7" hidden="1" x14ac:dyDescent="0.35">
      <c r="B1196" t="s">
        <v>484</v>
      </c>
      <c r="C1196">
        <v>327</v>
      </c>
      <c r="D1196">
        <v>-39</v>
      </c>
      <c r="E1196">
        <v>1</v>
      </c>
      <c r="F1196" t="s">
        <v>893</v>
      </c>
      <c r="G1196" t="s">
        <v>897</v>
      </c>
    </row>
    <row r="1197" spans="2:7" hidden="1" x14ac:dyDescent="0.35">
      <c r="B1197" t="s">
        <v>21</v>
      </c>
      <c r="C1197">
        <v>1625</v>
      </c>
      <c r="D1197">
        <v>-77</v>
      </c>
      <c r="E1197">
        <v>3</v>
      </c>
      <c r="F1197" t="s">
        <v>893</v>
      </c>
      <c r="G1197" t="s">
        <v>897</v>
      </c>
    </row>
    <row r="1198" spans="2:7" hidden="1" x14ac:dyDescent="0.35">
      <c r="B1198" t="s">
        <v>486</v>
      </c>
      <c r="C1198">
        <v>545</v>
      </c>
      <c r="D1198">
        <v>-73</v>
      </c>
      <c r="E1198">
        <v>11</v>
      </c>
      <c r="F1198" t="s">
        <v>893</v>
      </c>
      <c r="G1198" t="s">
        <v>897</v>
      </c>
    </row>
    <row r="1199" spans="2:7" hidden="1" x14ac:dyDescent="0.35">
      <c r="B1199" t="s">
        <v>488</v>
      </c>
      <c r="C1199">
        <v>245</v>
      </c>
      <c r="D1199">
        <v>-3</v>
      </c>
      <c r="E1199">
        <v>4</v>
      </c>
      <c r="F1199" t="s">
        <v>893</v>
      </c>
      <c r="G1199" t="s">
        <v>897</v>
      </c>
    </row>
    <row r="1200" spans="2:7" hidden="1" x14ac:dyDescent="0.35">
      <c r="B1200" t="s">
        <v>23</v>
      </c>
      <c r="C1200">
        <v>529</v>
      </c>
      <c r="D1200">
        <v>137</v>
      </c>
      <c r="E1200">
        <v>3</v>
      </c>
      <c r="F1200" t="s">
        <v>893</v>
      </c>
      <c r="G1200" t="s">
        <v>897</v>
      </c>
    </row>
    <row r="1201" spans="2:7" hidden="1" x14ac:dyDescent="0.35">
      <c r="B1201" t="s">
        <v>157</v>
      </c>
      <c r="C1201">
        <v>68</v>
      </c>
      <c r="D1201">
        <v>-30</v>
      </c>
      <c r="E1201">
        <v>1</v>
      </c>
      <c r="F1201" t="s">
        <v>893</v>
      </c>
      <c r="G1201" t="s">
        <v>897</v>
      </c>
    </row>
    <row r="1202" spans="2:7" hidden="1" x14ac:dyDescent="0.35">
      <c r="B1202" t="s">
        <v>157</v>
      </c>
      <c r="C1202">
        <v>72</v>
      </c>
      <c r="D1202">
        <v>-49</v>
      </c>
      <c r="E1202">
        <v>1</v>
      </c>
      <c r="F1202" t="s">
        <v>893</v>
      </c>
      <c r="G1202" t="s">
        <v>897</v>
      </c>
    </row>
    <row r="1203" spans="2:7" hidden="1" x14ac:dyDescent="0.35">
      <c r="B1203" t="s">
        <v>494</v>
      </c>
      <c r="C1203">
        <v>117</v>
      </c>
      <c r="D1203">
        <v>-6</v>
      </c>
      <c r="E1203">
        <v>3</v>
      </c>
      <c r="F1203" t="s">
        <v>893</v>
      </c>
      <c r="G1203" t="s">
        <v>897</v>
      </c>
    </row>
    <row r="1204" spans="2:7" hidden="1" x14ac:dyDescent="0.35">
      <c r="B1204" t="s">
        <v>496</v>
      </c>
      <c r="C1204">
        <v>73</v>
      </c>
      <c r="D1204">
        <v>-7</v>
      </c>
      <c r="E1204">
        <v>1</v>
      </c>
      <c r="F1204" t="s">
        <v>893</v>
      </c>
      <c r="G1204" t="s">
        <v>897</v>
      </c>
    </row>
    <row r="1205" spans="2:7" hidden="1" x14ac:dyDescent="0.35">
      <c r="B1205" t="s">
        <v>498</v>
      </c>
      <c r="C1205">
        <v>65</v>
      </c>
      <c r="D1205">
        <v>-16</v>
      </c>
      <c r="E1205">
        <v>2</v>
      </c>
      <c r="F1205" t="s">
        <v>893</v>
      </c>
      <c r="G1205" t="s">
        <v>897</v>
      </c>
    </row>
    <row r="1206" spans="2:7" hidden="1" x14ac:dyDescent="0.35">
      <c r="B1206" t="s">
        <v>255</v>
      </c>
      <c r="C1206">
        <v>102</v>
      </c>
      <c r="D1206">
        <v>0</v>
      </c>
      <c r="E1206">
        <v>3</v>
      </c>
      <c r="F1206" t="s">
        <v>893</v>
      </c>
      <c r="G1206" t="s">
        <v>897</v>
      </c>
    </row>
    <row r="1207" spans="2:7" hidden="1" x14ac:dyDescent="0.35">
      <c r="B1207" t="s">
        <v>37</v>
      </c>
      <c r="C1207">
        <v>709</v>
      </c>
      <c r="D1207">
        <v>-100</v>
      </c>
      <c r="E1207">
        <v>5</v>
      </c>
      <c r="F1207" t="s">
        <v>893</v>
      </c>
      <c r="G1207" t="s">
        <v>897</v>
      </c>
    </row>
    <row r="1208" spans="2:7" hidden="1" x14ac:dyDescent="0.35">
      <c r="B1208" t="s">
        <v>504</v>
      </c>
      <c r="C1208">
        <v>193</v>
      </c>
      <c r="D1208">
        <v>-275</v>
      </c>
      <c r="E1208">
        <v>3</v>
      </c>
      <c r="F1208" t="s">
        <v>893</v>
      </c>
      <c r="G1208" t="s">
        <v>897</v>
      </c>
    </row>
    <row r="1209" spans="2:7" hidden="1" x14ac:dyDescent="0.35">
      <c r="B1209" t="s">
        <v>510</v>
      </c>
      <c r="C1209">
        <v>416</v>
      </c>
      <c r="D1209">
        <v>137</v>
      </c>
      <c r="E1209">
        <v>3</v>
      </c>
      <c r="F1209" t="s">
        <v>893</v>
      </c>
      <c r="G1209" t="s">
        <v>897</v>
      </c>
    </row>
    <row r="1210" spans="2:7" hidden="1" x14ac:dyDescent="0.35">
      <c r="B1210" t="s">
        <v>517</v>
      </c>
      <c r="C1210">
        <v>149</v>
      </c>
      <c r="D1210">
        <v>-40</v>
      </c>
      <c r="E1210">
        <v>2</v>
      </c>
      <c r="F1210" t="s">
        <v>893</v>
      </c>
      <c r="G1210" t="s">
        <v>897</v>
      </c>
    </row>
    <row r="1211" spans="2:7" hidden="1" x14ac:dyDescent="0.35">
      <c r="B1211" t="s">
        <v>203</v>
      </c>
      <c r="C1211">
        <v>771</v>
      </c>
      <c r="D1211">
        <v>-424</v>
      </c>
      <c r="E1211">
        <v>2</v>
      </c>
      <c r="F1211" t="s">
        <v>893</v>
      </c>
      <c r="G1211" t="s">
        <v>897</v>
      </c>
    </row>
    <row r="1212" spans="2:7" hidden="1" x14ac:dyDescent="0.35">
      <c r="B1212" t="s">
        <v>160</v>
      </c>
      <c r="C1212">
        <v>1549</v>
      </c>
      <c r="D1212">
        <v>-439</v>
      </c>
      <c r="E1212">
        <v>4</v>
      </c>
      <c r="F1212" t="s">
        <v>893</v>
      </c>
      <c r="G1212" t="s">
        <v>897</v>
      </c>
    </row>
    <row r="1213" spans="2:7" hidden="1" x14ac:dyDescent="0.35">
      <c r="B1213" t="s">
        <v>523</v>
      </c>
      <c r="C1213">
        <v>1145</v>
      </c>
      <c r="D1213">
        <v>-706</v>
      </c>
      <c r="E1213">
        <v>3</v>
      </c>
      <c r="F1213" t="s">
        <v>893</v>
      </c>
      <c r="G1213" t="s">
        <v>897</v>
      </c>
    </row>
    <row r="1214" spans="2:7" hidden="1" x14ac:dyDescent="0.35">
      <c r="B1214" t="s">
        <v>531</v>
      </c>
      <c r="C1214">
        <v>148</v>
      </c>
      <c r="D1214">
        <v>-91</v>
      </c>
      <c r="E1214">
        <v>2</v>
      </c>
      <c r="F1214" t="s">
        <v>893</v>
      </c>
      <c r="G1214" t="s">
        <v>897</v>
      </c>
    </row>
    <row r="1215" spans="2:7" hidden="1" x14ac:dyDescent="0.35">
      <c r="B1215" t="s">
        <v>540</v>
      </c>
      <c r="C1215">
        <v>224</v>
      </c>
      <c r="D1215">
        <v>58</v>
      </c>
      <c r="E1215">
        <v>3</v>
      </c>
      <c r="F1215" t="s">
        <v>893</v>
      </c>
      <c r="G1215" t="s">
        <v>897</v>
      </c>
    </row>
    <row r="1216" spans="2:7" hidden="1" x14ac:dyDescent="0.35">
      <c r="B1216" t="s">
        <v>272</v>
      </c>
      <c r="C1216">
        <v>68</v>
      </c>
      <c r="D1216">
        <v>-56</v>
      </c>
      <c r="E1216">
        <v>2</v>
      </c>
      <c r="F1216" t="s">
        <v>893</v>
      </c>
      <c r="G1216" t="s">
        <v>897</v>
      </c>
    </row>
    <row r="1217" spans="2:7" hidden="1" x14ac:dyDescent="0.35">
      <c r="B1217" t="s">
        <v>272</v>
      </c>
      <c r="C1217">
        <v>106</v>
      </c>
      <c r="D1217">
        <v>0</v>
      </c>
      <c r="E1217">
        <v>2</v>
      </c>
      <c r="F1217" t="s">
        <v>893</v>
      </c>
      <c r="G1217" t="s">
        <v>897</v>
      </c>
    </row>
    <row r="1218" spans="2:7" hidden="1" x14ac:dyDescent="0.35">
      <c r="B1218" t="s">
        <v>274</v>
      </c>
      <c r="C1218">
        <v>465</v>
      </c>
      <c r="D1218">
        <v>-33</v>
      </c>
      <c r="E1218">
        <v>4</v>
      </c>
      <c r="F1218" t="s">
        <v>893</v>
      </c>
      <c r="G1218" t="s">
        <v>897</v>
      </c>
    </row>
    <row r="1219" spans="2:7" hidden="1" x14ac:dyDescent="0.35">
      <c r="B1219" t="s">
        <v>276</v>
      </c>
      <c r="C1219">
        <v>418</v>
      </c>
      <c r="D1219">
        <v>70</v>
      </c>
      <c r="E1219">
        <v>7</v>
      </c>
      <c r="F1219" t="s">
        <v>893</v>
      </c>
      <c r="G1219" t="s">
        <v>897</v>
      </c>
    </row>
    <row r="1220" spans="2:7" hidden="1" x14ac:dyDescent="0.35">
      <c r="B1220" t="s">
        <v>207</v>
      </c>
      <c r="C1220">
        <v>765</v>
      </c>
      <c r="D1220">
        <v>-153</v>
      </c>
      <c r="E1220">
        <v>2</v>
      </c>
      <c r="F1220" t="s">
        <v>893</v>
      </c>
      <c r="G1220" t="s">
        <v>897</v>
      </c>
    </row>
    <row r="1221" spans="2:7" hidden="1" x14ac:dyDescent="0.35">
      <c r="B1221" t="s">
        <v>565</v>
      </c>
      <c r="C1221">
        <v>137</v>
      </c>
      <c r="D1221">
        <v>-41</v>
      </c>
      <c r="E1221">
        <v>3</v>
      </c>
      <c r="F1221" t="s">
        <v>893</v>
      </c>
      <c r="G1221" t="s">
        <v>897</v>
      </c>
    </row>
    <row r="1222" spans="2:7" hidden="1" x14ac:dyDescent="0.35">
      <c r="B1222" t="s">
        <v>583</v>
      </c>
      <c r="C1222">
        <v>276</v>
      </c>
      <c r="D1222">
        <v>-21</v>
      </c>
      <c r="E1222">
        <v>2</v>
      </c>
      <c r="F1222" t="s">
        <v>893</v>
      </c>
      <c r="G1222" t="s">
        <v>897</v>
      </c>
    </row>
    <row r="1223" spans="2:7" hidden="1" x14ac:dyDescent="0.35">
      <c r="B1223" t="s">
        <v>83</v>
      </c>
      <c r="C1223">
        <v>911</v>
      </c>
      <c r="D1223">
        <v>355</v>
      </c>
      <c r="E1223">
        <v>5</v>
      </c>
      <c r="F1223" t="s">
        <v>893</v>
      </c>
      <c r="G1223" t="s">
        <v>897</v>
      </c>
    </row>
    <row r="1224" spans="2:7" hidden="1" x14ac:dyDescent="0.35">
      <c r="B1224" t="s">
        <v>611</v>
      </c>
      <c r="C1224">
        <v>1063</v>
      </c>
      <c r="D1224">
        <v>64</v>
      </c>
      <c r="E1224">
        <v>7</v>
      </c>
      <c r="F1224" t="s">
        <v>893</v>
      </c>
      <c r="G1224" t="s">
        <v>897</v>
      </c>
    </row>
    <row r="1225" spans="2:7" hidden="1" x14ac:dyDescent="0.35">
      <c r="B1225" t="s">
        <v>611</v>
      </c>
      <c r="C1225">
        <v>1954</v>
      </c>
      <c r="D1225">
        <v>782</v>
      </c>
      <c r="E1225">
        <v>3</v>
      </c>
      <c r="F1225" t="s">
        <v>893</v>
      </c>
      <c r="G1225" t="s">
        <v>897</v>
      </c>
    </row>
    <row r="1226" spans="2:7" hidden="1" x14ac:dyDescent="0.35">
      <c r="B1226" t="s">
        <v>622</v>
      </c>
      <c r="C1226">
        <v>274</v>
      </c>
      <c r="D1226">
        <v>-7</v>
      </c>
      <c r="E1226">
        <v>4</v>
      </c>
      <c r="F1226" t="s">
        <v>893</v>
      </c>
      <c r="G1226" t="s">
        <v>897</v>
      </c>
    </row>
    <row r="1227" spans="2:7" hidden="1" x14ac:dyDescent="0.35">
      <c r="B1227" t="s">
        <v>629</v>
      </c>
      <c r="C1227">
        <v>336</v>
      </c>
      <c r="D1227">
        <v>123</v>
      </c>
      <c r="E1227">
        <v>3</v>
      </c>
      <c r="F1227" t="s">
        <v>893</v>
      </c>
      <c r="G1227" t="s">
        <v>897</v>
      </c>
    </row>
    <row r="1228" spans="2:7" hidden="1" x14ac:dyDescent="0.35">
      <c r="B1228" t="s">
        <v>631</v>
      </c>
      <c r="C1228">
        <v>916</v>
      </c>
      <c r="D1228">
        <v>192</v>
      </c>
      <c r="E1228">
        <v>11</v>
      </c>
      <c r="F1228" t="s">
        <v>893</v>
      </c>
      <c r="G1228" t="s">
        <v>897</v>
      </c>
    </row>
    <row r="1229" spans="2:7" hidden="1" x14ac:dyDescent="0.35">
      <c r="B1229" t="s">
        <v>648</v>
      </c>
      <c r="C1229">
        <v>62</v>
      </c>
      <c r="D1229">
        <v>-1</v>
      </c>
      <c r="E1229">
        <v>1</v>
      </c>
      <c r="F1229" t="s">
        <v>893</v>
      </c>
      <c r="G1229" t="s">
        <v>897</v>
      </c>
    </row>
    <row r="1230" spans="2:7" hidden="1" x14ac:dyDescent="0.35">
      <c r="B1230" t="s">
        <v>99</v>
      </c>
      <c r="C1230">
        <v>1275</v>
      </c>
      <c r="D1230">
        <v>357</v>
      </c>
      <c r="E1230">
        <v>2</v>
      </c>
      <c r="F1230" t="s">
        <v>893</v>
      </c>
      <c r="G1230" t="s">
        <v>897</v>
      </c>
    </row>
    <row r="1231" spans="2:7" hidden="1" x14ac:dyDescent="0.35">
      <c r="B1231" t="s">
        <v>673</v>
      </c>
      <c r="C1231">
        <v>502</v>
      </c>
      <c r="D1231">
        <v>84</v>
      </c>
      <c r="E1231">
        <v>4</v>
      </c>
      <c r="F1231" t="s">
        <v>893</v>
      </c>
      <c r="G1231" t="s">
        <v>897</v>
      </c>
    </row>
    <row r="1232" spans="2:7" hidden="1" x14ac:dyDescent="0.35">
      <c r="B1232" t="s">
        <v>677</v>
      </c>
      <c r="C1232">
        <v>223</v>
      </c>
      <c r="D1232">
        <v>4</v>
      </c>
      <c r="E1232">
        <v>3</v>
      </c>
      <c r="F1232" t="s">
        <v>893</v>
      </c>
      <c r="G1232" t="s">
        <v>897</v>
      </c>
    </row>
    <row r="1233" spans="2:7" hidden="1" x14ac:dyDescent="0.35">
      <c r="B1233" t="s">
        <v>689</v>
      </c>
      <c r="C1233">
        <v>210</v>
      </c>
      <c r="D1233">
        <v>62</v>
      </c>
      <c r="E1233">
        <v>2</v>
      </c>
      <c r="F1233" t="s">
        <v>893</v>
      </c>
      <c r="G1233" t="s">
        <v>897</v>
      </c>
    </row>
    <row r="1234" spans="2:7" hidden="1" x14ac:dyDescent="0.35">
      <c r="B1234" t="s">
        <v>108</v>
      </c>
      <c r="C1234">
        <v>336</v>
      </c>
      <c r="D1234">
        <v>57</v>
      </c>
      <c r="E1234">
        <v>2</v>
      </c>
      <c r="F1234" t="s">
        <v>893</v>
      </c>
      <c r="G1234" t="s">
        <v>897</v>
      </c>
    </row>
    <row r="1235" spans="2:7" hidden="1" x14ac:dyDescent="0.35">
      <c r="B1235" t="s">
        <v>177</v>
      </c>
      <c r="C1235">
        <v>1622</v>
      </c>
      <c r="D1235">
        <v>248</v>
      </c>
      <c r="E1235">
        <v>3</v>
      </c>
      <c r="F1235" t="s">
        <v>893</v>
      </c>
      <c r="G1235" t="s">
        <v>897</v>
      </c>
    </row>
    <row r="1236" spans="2:7" hidden="1" x14ac:dyDescent="0.35">
      <c r="B1236" t="s">
        <v>177</v>
      </c>
      <c r="C1236">
        <v>323</v>
      </c>
      <c r="D1236">
        <v>122</v>
      </c>
      <c r="E1236">
        <v>5</v>
      </c>
      <c r="F1236" t="s">
        <v>893</v>
      </c>
      <c r="G1236" t="s">
        <v>897</v>
      </c>
    </row>
    <row r="1237" spans="2:7" hidden="1" x14ac:dyDescent="0.35">
      <c r="B1237" t="s">
        <v>707</v>
      </c>
      <c r="C1237">
        <v>977</v>
      </c>
      <c r="D1237">
        <v>244</v>
      </c>
      <c r="E1237">
        <v>7</v>
      </c>
      <c r="F1237" t="s">
        <v>893</v>
      </c>
      <c r="G1237" t="s">
        <v>897</v>
      </c>
    </row>
    <row r="1238" spans="2:7" hidden="1" x14ac:dyDescent="0.35">
      <c r="B1238" t="s">
        <v>327</v>
      </c>
      <c r="C1238">
        <v>3873</v>
      </c>
      <c r="D1238">
        <v>891</v>
      </c>
      <c r="E1238">
        <v>6</v>
      </c>
      <c r="F1238" t="s">
        <v>893</v>
      </c>
      <c r="G1238" t="s">
        <v>897</v>
      </c>
    </row>
    <row r="1239" spans="2:7" hidden="1" x14ac:dyDescent="0.35">
      <c r="B1239" t="s">
        <v>739</v>
      </c>
      <c r="C1239">
        <v>146</v>
      </c>
      <c r="D1239">
        <v>7</v>
      </c>
      <c r="E1239">
        <v>2</v>
      </c>
      <c r="F1239" t="s">
        <v>893</v>
      </c>
      <c r="G1239" t="s">
        <v>897</v>
      </c>
    </row>
    <row r="1240" spans="2:7" hidden="1" x14ac:dyDescent="0.35">
      <c r="B1240" t="s">
        <v>742</v>
      </c>
      <c r="C1240">
        <v>248</v>
      </c>
      <c r="D1240">
        <v>105</v>
      </c>
      <c r="E1240">
        <v>2</v>
      </c>
      <c r="F1240" t="s">
        <v>893</v>
      </c>
      <c r="G1240" t="s">
        <v>897</v>
      </c>
    </row>
    <row r="1241" spans="2:7" hidden="1" x14ac:dyDescent="0.35">
      <c r="B1241" t="s">
        <v>745</v>
      </c>
      <c r="C1241">
        <v>146</v>
      </c>
      <c r="D1241">
        <v>66</v>
      </c>
      <c r="E1241">
        <v>1</v>
      </c>
      <c r="F1241" t="s">
        <v>893</v>
      </c>
      <c r="G1241" t="s">
        <v>897</v>
      </c>
    </row>
    <row r="1242" spans="2:7" hidden="1" x14ac:dyDescent="0.35">
      <c r="B1242" t="s">
        <v>218</v>
      </c>
      <c r="C1242">
        <v>200</v>
      </c>
      <c r="D1242">
        <v>13</v>
      </c>
      <c r="E1242">
        <v>5</v>
      </c>
      <c r="F1242" t="s">
        <v>893</v>
      </c>
      <c r="G1242" t="s">
        <v>897</v>
      </c>
    </row>
    <row r="1243" spans="2:7" hidden="1" x14ac:dyDescent="0.35">
      <c r="B1243" t="s">
        <v>336</v>
      </c>
      <c r="C1243">
        <v>474</v>
      </c>
      <c r="D1243">
        <v>56</v>
      </c>
      <c r="E1243">
        <v>4</v>
      </c>
      <c r="F1243" t="s">
        <v>893</v>
      </c>
      <c r="G1243" t="s">
        <v>897</v>
      </c>
    </row>
    <row r="1244" spans="2:7" hidden="1" x14ac:dyDescent="0.35">
      <c r="B1244" t="s">
        <v>336</v>
      </c>
      <c r="C1244">
        <v>140</v>
      </c>
      <c r="D1244">
        <v>28</v>
      </c>
      <c r="E1244">
        <v>2</v>
      </c>
      <c r="F1244" t="s">
        <v>893</v>
      </c>
      <c r="G1244" t="s">
        <v>897</v>
      </c>
    </row>
    <row r="1245" spans="2:7" hidden="1" x14ac:dyDescent="0.35">
      <c r="B1245" t="s">
        <v>126</v>
      </c>
      <c r="C1245">
        <v>252</v>
      </c>
      <c r="D1245">
        <v>56</v>
      </c>
      <c r="E1245">
        <v>2</v>
      </c>
      <c r="F1245" t="s">
        <v>893</v>
      </c>
      <c r="G1245" t="s">
        <v>897</v>
      </c>
    </row>
    <row r="1246" spans="2:7" hidden="1" x14ac:dyDescent="0.35">
      <c r="B1246" t="s">
        <v>126</v>
      </c>
      <c r="C1246">
        <v>637</v>
      </c>
      <c r="D1246">
        <v>212</v>
      </c>
      <c r="E1246">
        <v>8</v>
      </c>
      <c r="F1246" t="s">
        <v>893</v>
      </c>
      <c r="G1246" t="s">
        <v>897</v>
      </c>
    </row>
    <row r="1247" spans="2:7" hidden="1" x14ac:dyDescent="0.35">
      <c r="B1247" t="s">
        <v>339</v>
      </c>
      <c r="C1247">
        <v>365</v>
      </c>
      <c r="D1247">
        <v>107</v>
      </c>
      <c r="E1247">
        <v>3</v>
      </c>
      <c r="F1247" t="s">
        <v>893</v>
      </c>
      <c r="G1247" t="s">
        <v>897</v>
      </c>
    </row>
    <row r="1248" spans="2:7" hidden="1" x14ac:dyDescent="0.35">
      <c r="B1248" t="s">
        <v>770</v>
      </c>
      <c r="C1248">
        <v>867</v>
      </c>
      <c r="D1248">
        <v>251</v>
      </c>
      <c r="E1248">
        <v>5</v>
      </c>
      <c r="F1248" t="s">
        <v>893</v>
      </c>
      <c r="G1248" t="s">
        <v>897</v>
      </c>
    </row>
    <row r="1249" spans="2:7" hidden="1" x14ac:dyDescent="0.35">
      <c r="B1249" t="s">
        <v>786</v>
      </c>
      <c r="C1249">
        <v>414</v>
      </c>
      <c r="D1249">
        <v>199</v>
      </c>
      <c r="E1249">
        <v>3</v>
      </c>
      <c r="F1249" t="s">
        <v>893</v>
      </c>
      <c r="G1249" t="s">
        <v>897</v>
      </c>
    </row>
    <row r="1250" spans="2:7" hidden="1" x14ac:dyDescent="0.35">
      <c r="B1250" t="s">
        <v>788</v>
      </c>
      <c r="C1250">
        <v>196</v>
      </c>
      <c r="D1250">
        <v>-7</v>
      </c>
      <c r="E1250">
        <v>5</v>
      </c>
      <c r="F1250" t="s">
        <v>893</v>
      </c>
      <c r="G1250" t="s">
        <v>897</v>
      </c>
    </row>
    <row r="1251" spans="2:7" hidden="1" x14ac:dyDescent="0.35">
      <c r="B1251" t="s">
        <v>792</v>
      </c>
      <c r="C1251">
        <v>333</v>
      </c>
      <c r="D1251">
        <v>50</v>
      </c>
      <c r="E1251">
        <v>2</v>
      </c>
      <c r="F1251" t="s">
        <v>893</v>
      </c>
      <c r="G1251" t="s">
        <v>897</v>
      </c>
    </row>
    <row r="1252" spans="2:7" hidden="1" x14ac:dyDescent="0.35">
      <c r="B1252" t="s">
        <v>796</v>
      </c>
      <c r="C1252">
        <v>129</v>
      </c>
      <c r="D1252">
        <v>11</v>
      </c>
      <c r="E1252">
        <v>2</v>
      </c>
      <c r="F1252" t="s">
        <v>893</v>
      </c>
      <c r="G1252" t="s">
        <v>897</v>
      </c>
    </row>
    <row r="1253" spans="2:7" hidden="1" x14ac:dyDescent="0.35">
      <c r="B1253" t="s">
        <v>823</v>
      </c>
      <c r="C1253">
        <v>1824</v>
      </c>
      <c r="D1253">
        <v>-1303</v>
      </c>
      <c r="E1253">
        <v>8</v>
      </c>
      <c r="F1253" t="s">
        <v>893</v>
      </c>
      <c r="G1253" t="s">
        <v>897</v>
      </c>
    </row>
    <row r="1254" spans="2:7" hidden="1" x14ac:dyDescent="0.35">
      <c r="B1254" t="s">
        <v>829</v>
      </c>
      <c r="C1254">
        <v>1272</v>
      </c>
      <c r="D1254">
        <v>547</v>
      </c>
      <c r="E1254">
        <v>2</v>
      </c>
      <c r="F1254" t="s">
        <v>893</v>
      </c>
      <c r="G1254" t="s">
        <v>897</v>
      </c>
    </row>
    <row r="1255" spans="2:7" hidden="1" x14ac:dyDescent="0.35">
      <c r="B1255" t="s">
        <v>834</v>
      </c>
      <c r="C1255">
        <v>520</v>
      </c>
      <c r="D1255">
        <v>151</v>
      </c>
      <c r="E1255">
        <v>3</v>
      </c>
      <c r="F1255" t="s">
        <v>893</v>
      </c>
      <c r="G1255" t="s">
        <v>897</v>
      </c>
    </row>
    <row r="1256" spans="2:7" hidden="1" x14ac:dyDescent="0.35">
      <c r="B1256" t="s">
        <v>843</v>
      </c>
      <c r="C1256">
        <v>487</v>
      </c>
      <c r="D1256">
        <v>143</v>
      </c>
      <c r="E1256">
        <v>4</v>
      </c>
      <c r="F1256" t="s">
        <v>893</v>
      </c>
      <c r="G1256" t="s">
        <v>897</v>
      </c>
    </row>
    <row r="1257" spans="2:7" hidden="1" x14ac:dyDescent="0.35">
      <c r="B1257" t="s">
        <v>141</v>
      </c>
      <c r="C1257">
        <v>671</v>
      </c>
      <c r="D1257">
        <v>114</v>
      </c>
      <c r="E1257">
        <v>9</v>
      </c>
      <c r="F1257" t="s">
        <v>893</v>
      </c>
      <c r="G1257" t="s">
        <v>897</v>
      </c>
    </row>
    <row r="1258" spans="2:7" hidden="1" x14ac:dyDescent="0.35">
      <c r="B1258" t="s">
        <v>847</v>
      </c>
      <c r="C1258">
        <v>391</v>
      </c>
      <c r="D1258">
        <v>90</v>
      </c>
      <c r="E1258">
        <v>6</v>
      </c>
      <c r="F1258" t="s">
        <v>893</v>
      </c>
      <c r="G1258" t="s">
        <v>897</v>
      </c>
    </row>
    <row r="1259" spans="2:7" hidden="1" x14ac:dyDescent="0.35">
      <c r="B1259" t="s">
        <v>875</v>
      </c>
      <c r="C1259">
        <v>451</v>
      </c>
      <c r="D1259">
        <v>25</v>
      </c>
      <c r="E1259">
        <v>3</v>
      </c>
      <c r="F1259" t="s">
        <v>893</v>
      </c>
      <c r="G1259" t="s">
        <v>897</v>
      </c>
    </row>
    <row r="1260" spans="2:7" hidden="1" x14ac:dyDescent="0.35">
      <c r="B1260" t="s">
        <v>350</v>
      </c>
      <c r="C1260">
        <v>835</v>
      </c>
      <c r="D1260">
        <v>267</v>
      </c>
      <c r="E1260">
        <v>5</v>
      </c>
      <c r="F1260" t="s">
        <v>893</v>
      </c>
      <c r="G1260" t="s">
        <v>897</v>
      </c>
    </row>
    <row r="1261" spans="2:7" hidden="1" x14ac:dyDescent="0.35">
      <c r="B1261" t="s">
        <v>351</v>
      </c>
      <c r="C1261">
        <v>1275</v>
      </c>
      <c r="D1261">
        <v>-1148</v>
      </c>
      <c r="E1261">
        <v>7</v>
      </c>
      <c r="F1261" t="s">
        <v>898</v>
      </c>
      <c r="G1261" t="s">
        <v>899</v>
      </c>
    </row>
    <row r="1262" spans="2:7" hidden="1" x14ac:dyDescent="0.35">
      <c r="B1262" t="s">
        <v>393</v>
      </c>
      <c r="C1262">
        <v>494</v>
      </c>
      <c r="D1262">
        <v>54</v>
      </c>
      <c r="E1262">
        <v>4</v>
      </c>
      <c r="F1262" t="s">
        <v>898</v>
      </c>
      <c r="G1262" t="s">
        <v>899</v>
      </c>
    </row>
    <row r="1263" spans="2:7" hidden="1" x14ac:dyDescent="0.35">
      <c r="B1263" t="s">
        <v>408</v>
      </c>
      <c r="C1263">
        <v>362</v>
      </c>
      <c r="D1263">
        <v>127</v>
      </c>
      <c r="E1263">
        <v>1</v>
      </c>
      <c r="F1263" t="s">
        <v>898</v>
      </c>
      <c r="G1263" t="s">
        <v>899</v>
      </c>
    </row>
    <row r="1264" spans="2:7" hidden="1" x14ac:dyDescent="0.35">
      <c r="B1264" t="s">
        <v>197</v>
      </c>
      <c r="C1264">
        <v>182</v>
      </c>
      <c r="D1264">
        <v>-11</v>
      </c>
      <c r="E1264">
        <v>3</v>
      </c>
      <c r="F1264" t="s">
        <v>898</v>
      </c>
      <c r="G1264" t="s">
        <v>899</v>
      </c>
    </row>
    <row r="1265" spans="2:7" hidden="1" x14ac:dyDescent="0.35">
      <c r="B1265" t="s">
        <v>443</v>
      </c>
      <c r="C1265">
        <v>1061</v>
      </c>
      <c r="D1265">
        <v>-36</v>
      </c>
      <c r="E1265">
        <v>8</v>
      </c>
      <c r="F1265" t="s">
        <v>898</v>
      </c>
      <c r="G1265" t="s">
        <v>899</v>
      </c>
    </row>
    <row r="1266" spans="2:7" hidden="1" x14ac:dyDescent="0.35">
      <c r="B1266" t="s">
        <v>13</v>
      </c>
      <c r="C1266">
        <v>200</v>
      </c>
      <c r="D1266">
        <v>-60</v>
      </c>
      <c r="E1266">
        <v>4</v>
      </c>
      <c r="F1266" t="s">
        <v>898</v>
      </c>
      <c r="G1266" t="s">
        <v>899</v>
      </c>
    </row>
    <row r="1267" spans="2:7" hidden="1" x14ac:dyDescent="0.35">
      <c r="B1267" t="s">
        <v>464</v>
      </c>
      <c r="C1267">
        <v>83</v>
      </c>
      <c r="D1267">
        <v>-48</v>
      </c>
      <c r="E1267">
        <v>1</v>
      </c>
      <c r="F1267" t="s">
        <v>898</v>
      </c>
      <c r="G1267" t="s">
        <v>899</v>
      </c>
    </row>
    <row r="1268" spans="2:7" hidden="1" x14ac:dyDescent="0.35">
      <c r="B1268" t="s">
        <v>470</v>
      </c>
      <c r="C1268">
        <v>516</v>
      </c>
      <c r="D1268">
        <v>69</v>
      </c>
      <c r="E1268">
        <v>4</v>
      </c>
      <c r="F1268" t="s">
        <v>898</v>
      </c>
      <c r="G1268" t="s">
        <v>899</v>
      </c>
    </row>
    <row r="1269" spans="2:7" hidden="1" x14ac:dyDescent="0.35">
      <c r="B1269" t="s">
        <v>474</v>
      </c>
      <c r="C1269">
        <v>656</v>
      </c>
      <c r="D1269">
        <v>-36</v>
      </c>
      <c r="E1269">
        <v>2</v>
      </c>
      <c r="F1269" t="s">
        <v>898</v>
      </c>
      <c r="G1269" t="s">
        <v>899</v>
      </c>
    </row>
    <row r="1270" spans="2:7" hidden="1" x14ac:dyDescent="0.35">
      <c r="B1270" t="s">
        <v>258</v>
      </c>
      <c r="C1270">
        <v>371</v>
      </c>
      <c r="D1270">
        <v>115</v>
      </c>
      <c r="E1270">
        <v>1</v>
      </c>
      <c r="F1270" t="s">
        <v>898</v>
      </c>
      <c r="G1270" t="s">
        <v>899</v>
      </c>
    </row>
    <row r="1271" spans="2:7" hidden="1" x14ac:dyDescent="0.35">
      <c r="B1271" t="s">
        <v>258</v>
      </c>
      <c r="C1271">
        <v>460</v>
      </c>
      <c r="D1271">
        <v>31</v>
      </c>
      <c r="E1271">
        <v>3</v>
      </c>
      <c r="F1271" t="s">
        <v>898</v>
      </c>
      <c r="G1271" t="s">
        <v>899</v>
      </c>
    </row>
    <row r="1272" spans="2:7" hidden="1" x14ac:dyDescent="0.35">
      <c r="B1272" t="s">
        <v>42</v>
      </c>
      <c r="C1272">
        <v>168</v>
      </c>
      <c r="D1272">
        <v>-51</v>
      </c>
      <c r="E1272">
        <v>2</v>
      </c>
      <c r="F1272" t="s">
        <v>898</v>
      </c>
      <c r="G1272" t="s">
        <v>899</v>
      </c>
    </row>
    <row r="1273" spans="2:7" hidden="1" x14ac:dyDescent="0.35">
      <c r="B1273" t="s">
        <v>262</v>
      </c>
      <c r="C1273">
        <v>490</v>
      </c>
      <c r="D1273">
        <v>-128</v>
      </c>
      <c r="E1273">
        <v>8</v>
      </c>
      <c r="F1273" t="s">
        <v>898</v>
      </c>
      <c r="G1273" t="s">
        <v>899</v>
      </c>
    </row>
    <row r="1274" spans="2:7" hidden="1" x14ac:dyDescent="0.35">
      <c r="B1274" t="s">
        <v>539</v>
      </c>
      <c r="C1274">
        <v>670</v>
      </c>
      <c r="D1274">
        <v>15</v>
      </c>
      <c r="E1274">
        <v>5</v>
      </c>
      <c r="F1274" t="s">
        <v>898</v>
      </c>
      <c r="G1274" t="s">
        <v>899</v>
      </c>
    </row>
    <row r="1275" spans="2:7" hidden="1" x14ac:dyDescent="0.35">
      <c r="B1275" t="s">
        <v>162</v>
      </c>
      <c r="C1275">
        <v>877</v>
      </c>
      <c r="D1275">
        <v>395</v>
      </c>
      <c r="E1275">
        <v>2</v>
      </c>
      <c r="F1275" t="s">
        <v>898</v>
      </c>
      <c r="G1275" t="s">
        <v>899</v>
      </c>
    </row>
    <row r="1276" spans="2:7" hidden="1" x14ac:dyDescent="0.35">
      <c r="B1276" t="s">
        <v>270</v>
      </c>
      <c r="C1276">
        <v>1052</v>
      </c>
      <c r="D1276">
        <v>-82</v>
      </c>
      <c r="E1276">
        <v>3</v>
      </c>
      <c r="F1276" t="s">
        <v>898</v>
      </c>
      <c r="G1276" t="s">
        <v>899</v>
      </c>
    </row>
    <row r="1277" spans="2:7" hidden="1" x14ac:dyDescent="0.35">
      <c r="B1277" t="s">
        <v>51</v>
      </c>
      <c r="C1277">
        <v>73</v>
      </c>
      <c r="D1277">
        <v>-31</v>
      </c>
      <c r="E1277">
        <v>1</v>
      </c>
      <c r="F1277" t="s">
        <v>898</v>
      </c>
      <c r="G1277" t="s">
        <v>899</v>
      </c>
    </row>
    <row r="1278" spans="2:7" hidden="1" x14ac:dyDescent="0.35">
      <c r="B1278" t="s">
        <v>53</v>
      </c>
      <c r="C1278">
        <v>1361</v>
      </c>
      <c r="D1278">
        <v>197</v>
      </c>
      <c r="E1278">
        <v>9</v>
      </c>
      <c r="F1278" t="s">
        <v>898</v>
      </c>
      <c r="G1278" t="s">
        <v>899</v>
      </c>
    </row>
    <row r="1279" spans="2:7" hidden="1" x14ac:dyDescent="0.35">
      <c r="B1279" t="s">
        <v>545</v>
      </c>
      <c r="C1279">
        <v>257</v>
      </c>
      <c r="D1279">
        <v>-3</v>
      </c>
      <c r="E1279">
        <v>2</v>
      </c>
      <c r="F1279" t="s">
        <v>898</v>
      </c>
      <c r="G1279" t="s">
        <v>899</v>
      </c>
    </row>
    <row r="1280" spans="2:7" hidden="1" x14ac:dyDescent="0.35">
      <c r="B1280" t="s">
        <v>545</v>
      </c>
      <c r="C1280">
        <v>593</v>
      </c>
      <c r="D1280">
        <v>213</v>
      </c>
      <c r="E1280">
        <v>4</v>
      </c>
      <c r="F1280" t="s">
        <v>898</v>
      </c>
      <c r="G1280" t="s">
        <v>899</v>
      </c>
    </row>
    <row r="1281" spans="2:7" hidden="1" x14ac:dyDescent="0.35">
      <c r="B1281" t="s">
        <v>274</v>
      </c>
      <c r="C1281">
        <v>204</v>
      </c>
      <c r="D1281">
        <v>-276</v>
      </c>
      <c r="E1281">
        <v>3</v>
      </c>
      <c r="F1281" t="s">
        <v>898</v>
      </c>
      <c r="G1281" t="s">
        <v>899</v>
      </c>
    </row>
    <row r="1282" spans="2:7" hidden="1" x14ac:dyDescent="0.35">
      <c r="B1282" t="s">
        <v>274</v>
      </c>
      <c r="C1282">
        <v>729</v>
      </c>
      <c r="D1282">
        <v>-492</v>
      </c>
      <c r="E1282">
        <v>5</v>
      </c>
      <c r="F1282" t="s">
        <v>898</v>
      </c>
      <c r="G1282" t="s">
        <v>899</v>
      </c>
    </row>
    <row r="1283" spans="2:7" hidden="1" x14ac:dyDescent="0.35">
      <c r="B1283" t="s">
        <v>276</v>
      </c>
      <c r="C1283">
        <v>2188</v>
      </c>
      <c r="D1283">
        <v>1050</v>
      </c>
      <c r="E1283">
        <v>5</v>
      </c>
      <c r="F1283" t="s">
        <v>898</v>
      </c>
      <c r="G1283" t="s">
        <v>899</v>
      </c>
    </row>
    <row r="1284" spans="2:7" hidden="1" x14ac:dyDescent="0.35">
      <c r="B1284" t="s">
        <v>59</v>
      </c>
      <c r="C1284">
        <v>375</v>
      </c>
      <c r="D1284">
        <v>180</v>
      </c>
      <c r="E1284">
        <v>3</v>
      </c>
      <c r="F1284" t="s">
        <v>898</v>
      </c>
      <c r="G1284" t="s">
        <v>899</v>
      </c>
    </row>
    <row r="1285" spans="2:7" hidden="1" x14ac:dyDescent="0.35">
      <c r="B1285" t="s">
        <v>59</v>
      </c>
      <c r="C1285">
        <v>299</v>
      </c>
      <c r="D1285">
        <v>113</v>
      </c>
      <c r="E1285">
        <v>2</v>
      </c>
      <c r="F1285" t="s">
        <v>898</v>
      </c>
      <c r="G1285" t="s">
        <v>899</v>
      </c>
    </row>
    <row r="1286" spans="2:7" hidden="1" x14ac:dyDescent="0.35">
      <c r="B1286" t="s">
        <v>572</v>
      </c>
      <c r="C1286">
        <v>1854</v>
      </c>
      <c r="D1286">
        <v>433</v>
      </c>
      <c r="E1286">
        <v>5</v>
      </c>
      <c r="F1286" t="s">
        <v>898</v>
      </c>
      <c r="G1286" t="s">
        <v>899</v>
      </c>
    </row>
    <row r="1287" spans="2:7" hidden="1" x14ac:dyDescent="0.35">
      <c r="B1287" t="s">
        <v>577</v>
      </c>
      <c r="C1287">
        <v>313</v>
      </c>
      <c r="D1287">
        <v>-13</v>
      </c>
      <c r="E1287">
        <v>5</v>
      </c>
      <c r="F1287" t="s">
        <v>898</v>
      </c>
      <c r="G1287" t="s">
        <v>899</v>
      </c>
    </row>
    <row r="1288" spans="2:7" hidden="1" x14ac:dyDescent="0.35">
      <c r="B1288" t="s">
        <v>69</v>
      </c>
      <c r="C1288">
        <v>148</v>
      </c>
      <c r="D1288">
        <v>-101</v>
      </c>
      <c r="E1288">
        <v>2</v>
      </c>
      <c r="F1288" t="s">
        <v>898</v>
      </c>
      <c r="G1288" t="s">
        <v>899</v>
      </c>
    </row>
    <row r="1289" spans="2:7" hidden="1" x14ac:dyDescent="0.35">
      <c r="B1289" t="s">
        <v>585</v>
      </c>
      <c r="C1289">
        <v>2830</v>
      </c>
      <c r="D1289">
        <v>-1981</v>
      </c>
      <c r="E1289">
        <v>13</v>
      </c>
      <c r="F1289" t="s">
        <v>898</v>
      </c>
      <c r="G1289" t="s">
        <v>899</v>
      </c>
    </row>
    <row r="1290" spans="2:7" hidden="1" x14ac:dyDescent="0.35">
      <c r="B1290" t="s">
        <v>301</v>
      </c>
      <c r="C1290">
        <v>504</v>
      </c>
      <c r="D1290">
        <v>116</v>
      </c>
      <c r="E1290">
        <v>3</v>
      </c>
      <c r="F1290" t="s">
        <v>898</v>
      </c>
      <c r="G1290" t="s">
        <v>899</v>
      </c>
    </row>
    <row r="1291" spans="2:7" hidden="1" x14ac:dyDescent="0.35">
      <c r="B1291" t="s">
        <v>620</v>
      </c>
      <c r="C1291">
        <v>246</v>
      </c>
      <c r="D1291">
        <v>61</v>
      </c>
      <c r="E1291">
        <v>2</v>
      </c>
      <c r="F1291" t="s">
        <v>898</v>
      </c>
      <c r="G1291" t="s">
        <v>899</v>
      </c>
    </row>
    <row r="1292" spans="2:7" hidden="1" x14ac:dyDescent="0.35">
      <c r="B1292" t="s">
        <v>620</v>
      </c>
      <c r="C1292">
        <v>298</v>
      </c>
      <c r="D1292">
        <v>74</v>
      </c>
      <c r="E1292">
        <v>2</v>
      </c>
      <c r="F1292" t="s">
        <v>898</v>
      </c>
      <c r="G1292" t="s">
        <v>899</v>
      </c>
    </row>
    <row r="1293" spans="2:7" hidden="1" x14ac:dyDescent="0.35">
      <c r="B1293" t="s">
        <v>632</v>
      </c>
      <c r="C1293">
        <v>336</v>
      </c>
      <c r="D1293">
        <v>71</v>
      </c>
      <c r="E1293">
        <v>3</v>
      </c>
      <c r="F1293" t="s">
        <v>898</v>
      </c>
      <c r="G1293" t="s">
        <v>899</v>
      </c>
    </row>
    <row r="1294" spans="2:7" hidden="1" x14ac:dyDescent="0.35">
      <c r="B1294" t="s">
        <v>170</v>
      </c>
      <c r="C1294">
        <v>197</v>
      </c>
      <c r="D1294">
        <v>73</v>
      </c>
      <c r="E1294">
        <v>1</v>
      </c>
      <c r="F1294" t="s">
        <v>898</v>
      </c>
      <c r="G1294" t="s">
        <v>899</v>
      </c>
    </row>
    <row r="1295" spans="2:7" hidden="1" x14ac:dyDescent="0.35">
      <c r="B1295" t="s">
        <v>93</v>
      </c>
      <c r="C1295">
        <v>598</v>
      </c>
      <c r="D1295">
        <v>166</v>
      </c>
      <c r="E1295">
        <v>4</v>
      </c>
      <c r="F1295" t="s">
        <v>898</v>
      </c>
      <c r="G1295" t="s">
        <v>899</v>
      </c>
    </row>
    <row r="1296" spans="2:7" hidden="1" x14ac:dyDescent="0.35">
      <c r="B1296" t="s">
        <v>310</v>
      </c>
      <c r="C1296">
        <v>223</v>
      </c>
      <c r="D1296">
        <v>27</v>
      </c>
      <c r="E1296">
        <v>2</v>
      </c>
      <c r="F1296" t="s">
        <v>898</v>
      </c>
      <c r="G1296" t="s">
        <v>899</v>
      </c>
    </row>
    <row r="1297" spans="2:7" hidden="1" x14ac:dyDescent="0.35">
      <c r="B1297" t="s">
        <v>95</v>
      </c>
      <c r="C1297">
        <v>724</v>
      </c>
      <c r="D1297">
        <v>253</v>
      </c>
      <c r="E1297">
        <v>2</v>
      </c>
      <c r="F1297" t="s">
        <v>898</v>
      </c>
      <c r="G1297" t="s">
        <v>899</v>
      </c>
    </row>
    <row r="1298" spans="2:7" hidden="1" x14ac:dyDescent="0.35">
      <c r="B1298" t="s">
        <v>641</v>
      </c>
      <c r="C1298">
        <v>2061</v>
      </c>
      <c r="D1298">
        <v>701</v>
      </c>
      <c r="E1298">
        <v>5</v>
      </c>
      <c r="F1298" t="s">
        <v>898</v>
      </c>
      <c r="G1298" t="s">
        <v>899</v>
      </c>
    </row>
    <row r="1299" spans="2:7" hidden="1" x14ac:dyDescent="0.35">
      <c r="B1299" t="s">
        <v>315</v>
      </c>
      <c r="C1299">
        <v>741</v>
      </c>
      <c r="D1299">
        <v>267</v>
      </c>
      <c r="E1299">
        <v>5</v>
      </c>
      <c r="F1299" t="s">
        <v>898</v>
      </c>
      <c r="G1299" t="s">
        <v>899</v>
      </c>
    </row>
    <row r="1300" spans="2:7" hidden="1" x14ac:dyDescent="0.35">
      <c r="B1300" t="s">
        <v>102</v>
      </c>
      <c r="C1300">
        <v>394</v>
      </c>
      <c r="D1300">
        <v>146</v>
      </c>
      <c r="E1300">
        <v>2</v>
      </c>
      <c r="F1300" t="s">
        <v>898</v>
      </c>
      <c r="G1300" t="s">
        <v>899</v>
      </c>
    </row>
    <row r="1301" spans="2:7" hidden="1" x14ac:dyDescent="0.35">
      <c r="B1301" t="s">
        <v>682</v>
      </c>
      <c r="C1301">
        <v>1246</v>
      </c>
      <c r="D1301">
        <v>62</v>
      </c>
      <c r="E1301">
        <v>3</v>
      </c>
      <c r="F1301" t="s">
        <v>898</v>
      </c>
      <c r="G1301" t="s">
        <v>899</v>
      </c>
    </row>
    <row r="1302" spans="2:7" hidden="1" x14ac:dyDescent="0.35">
      <c r="B1302" t="s">
        <v>684</v>
      </c>
      <c r="C1302">
        <v>388</v>
      </c>
      <c r="D1302">
        <v>93</v>
      </c>
      <c r="E1302">
        <v>2</v>
      </c>
      <c r="F1302" t="s">
        <v>898</v>
      </c>
      <c r="G1302" t="s">
        <v>899</v>
      </c>
    </row>
    <row r="1303" spans="2:7" hidden="1" x14ac:dyDescent="0.35">
      <c r="B1303" t="s">
        <v>323</v>
      </c>
      <c r="C1303">
        <v>268</v>
      </c>
      <c r="D1303">
        <v>6</v>
      </c>
      <c r="E1303">
        <v>2</v>
      </c>
      <c r="F1303" t="s">
        <v>898</v>
      </c>
      <c r="G1303" t="s">
        <v>899</v>
      </c>
    </row>
    <row r="1304" spans="2:7" hidden="1" x14ac:dyDescent="0.35">
      <c r="B1304" t="s">
        <v>692</v>
      </c>
      <c r="C1304">
        <v>871</v>
      </c>
      <c r="D1304">
        <v>131</v>
      </c>
      <c r="E1304">
        <v>2</v>
      </c>
      <c r="F1304" t="s">
        <v>898</v>
      </c>
      <c r="G1304" t="s">
        <v>899</v>
      </c>
    </row>
    <row r="1305" spans="2:7" hidden="1" x14ac:dyDescent="0.35">
      <c r="B1305" t="s">
        <v>720</v>
      </c>
      <c r="C1305">
        <v>1308</v>
      </c>
      <c r="D1305">
        <v>536</v>
      </c>
      <c r="E1305">
        <v>3</v>
      </c>
      <c r="F1305" t="s">
        <v>898</v>
      </c>
      <c r="G1305" t="s">
        <v>899</v>
      </c>
    </row>
    <row r="1306" spans="2:7" hidden="1" x14ac:dyDescent="0.35">
      <c r="B1306" t="s">
        <v>722</v>
      </c>
      <c r="C1306">
        <v>595</v>
      </c>
      <c r="D1306">
        <v>119</v>
      </c>
      <c r="E1306">
        <v>4</v>
      </c>
      <c r="F1306" t="s">
        <v>898</v>
      </c>
      <c r="G1306" t="s">
        <v>899</v>
      </c>
    </row>
    <row r="1307" spans="2:7" hidden="1" x14ac:dyDescent="0.35">
      <c r="B1307" t="s">
        <v>728</v>
      </c>
      <c r="C1307">
        <v>1101</v>
      </c>
      <c r="D1307">
        <v>352</v>
      </c>
      <c r="E1307">
        <v>3</v>
      </c>
      <c r="F1307" t="s">
        <v>898</v>
      </c>
      <c r="G1307" t="s">
        <v>899</v>
      </c>
    </row>
    <row r="1308" spans="2:7" hidden="1" x14ac:dyDescent="0.35">
      <c r="B1308" t="s">
        <v>118</v>
      </c>
      <c r="C1308">
        <v>245</v>
      </c>
      <c r="D1308">
        <v>10</v>
      </c>
      <c r="E1308">
        <v>2</v>
      </c>
      <c r="F1308" t="s">
        <v>898</v>
      </c>
      <c r="G1308" t="s">
        <v>899</v>
      </c>
    </row>
    <row r="1309" spans="2:7" hidden="1" x14ac:dyDescent="0.35">
      <c r="B1309" t="s">
        <v>742</v>
      </c>
      <c r="C1309">
        <v>742</v>
      </c>
      <c r="D1309">
        <v>198</v>
      </c>
      <c r="E1309">
        <v>2</v>
      </c>
      <c r="F1309" t="s">
        <v>898</v>
      </c>
      <c r="G1309" t="s">
        <v>899</v>
      </c>
    </row>
    <row r="1310" spans="2:7" hidden="1" x14ac:dyDescent="0.35">
      <c r="B1310" t="s">
        <v>744</v>
      </c>
      <c r="C1310">
        <v>1218</v>
      </c>
      <c r="D1310">
        <v>352</v>
      </c>
      <c r="E1310">
        <v>9</v>
      </c>
      <c r="F1310" t="s">
        <v>898</v>
      </c>
      <c r="G1310" t="s">
        <v>899</v>
      </c>
    </row>
    <row r="1311" spans="2:7" hidden="1" x14ac:dyDescent="0.35">
      <c r="B1311" t="s">
        <v>218</v>
      </c>
      <c r="C1311">
        <v>2927</v>
      </c>
      <c r="D1311">
        <v>146</v>
      </c>
      <c r="E1311">
        <v>8</v>
      </c>
      <c r="F1311" t="s">
        <v>898</v>
      </c>
      <c r="G1311" t="s">
        <v>899</v>
      </c>
    </row>
    <row r="1312" spans="2:7" hidden="1" x14ac:dyDescent="0.35">
      <c r="B1312" t="s">
        <v>124</v>
      </c>
      <c r="C1312">
        <v>1157</v>
      </c>
      <c r="D1312">
        <v>-13</v>
      </c>
      <c r="E1312">
        <v>9</v>
      </c>
      <c r="F1312" t="s">
        <v>898</v>
      </c>
      <c r="G1312" t="s">
        <v>899</v>
      </c>
    </row>
    <row r="1313" spans="2:7" hidden="1" x14ac:dyDescent="0.35">
      <c r="B1313" t="s">
        <v>749</v>
      </c>
      <c r="C1313">
        <v>171</v>
      </c>
      <c r="D1313">
        <v>-140</v>
      </c>
      <c r="E1313">
        <v>2</v>
      </c>
      <c r="F1313" t="s">
        <v>898</v>
      </c>
      <c r="G1313" t="s">
        <v>899</v>
      </c>
    </row>
    <row r="1314" spans="2:7" hidden="1" x14ac:dyDescent="0.35">
      <c r="B1314" t="s">
        <v>750</v>
      </c>
      <c r="C1314">
        <v>366</v>
      </c>
      <c r="D1314">
        <v>84</v>
      </c>
      <c r="E1314">
        <v>3</v>
      </c>
      <c r="F1314" t="s">
        <v>898</v>
      </c>
      <c r="G1314" t="s">
        <v>899</v>
      </c>
    </row>
    <row r="1315" spans="2:7" hidden="1" x14ac:dyDescent="0.35">
      <c r="B1315" t="s">
        <v>220</v>
      </c>
      <c r="C1315">
        <v>544</v>
      </c>
      <c r="D1315">
        <v>-152</v>
      </c>
      <c r="E1315">
        <v>3</v>
      </c>
      <c r="F1315" t="s">
        <v>898</v>
      </c>
      <c r="G1315" t="s">
        <v>899</v>
      </c>
    </row>
    <row r="1316" spans="2:7" hidden="1" x14ac:dyDescent="0.35">
      <c r="B1316" t="s">
        <v>757</v>
      </c>
      <c r="C1316">
        <v>2452</v>
      </c>
      <c r="D1316">
        <v>191</v>
      </c>
      <c r="E1316">
        <v>7</v>
      </c>
      <c r="F1316" t="s">
        <v>898</v>
      </c>
      <c r="G1316" t="s">
        <v>899</v>
      </c>
    </row>
    <row r="1317" spans="2:7" hidden="1" x14ac:dyDescent="0.35">
      <c r="B1317" t="s">
        <v>339</v>
      </c>
      <c r="C1317">
        <v>742</v>
      </c>
      <c r="D1317">
        <v>198</v>
      </c>
      <c r="E1317">
        <v>2</v>
      </c>
      <c r="F1317" t="s">
        <v>898</v>
      </c>
      <c r="G1317" t="s">
        <v>899</v>
      </c>
    </row>
    <row r="1318" spans="2:7" hidden="1" x14ac:dyDescent="0.35">
      <c r="B1318" t="s">
        <v>130</v>
      </c>
      <c r="C1318">
        <v>244</v>
      </c>
      <c r="D1318">
        <v>83</v>
      </c>
      <c r="E1318">
        <v>2</v>
      </c>
      <c r="F1318" t="s">
        <v>898</v>
      </c>
      <c r="G1318" t="s">
        <v>899</v>
      </c>
    </row>
    <row r="1319" spans="2:7" hidden="1" x14ac:dyDescent="0.35">
      <c r="B1319" t="s">
        <v>763</v>
      </c>
      <c r="C1319">
        <v>662</v>
      </c>
      <c r="D1319">
        <v>240</v>
      </c>
      <c r="E1319">
        <v>2</v>
      </c>
      <c r="F1319" t="s">
        <v>898</v>
      </c>
      <c r="G1319" t="s">
        <v>899</v>
      </c>
    </row>
    <row r="1320" spans="2:7" hidden="1" x14ac:dyDescent="0.35">
      <c r="B1320" t="s">
        <v>132</v>
      </c>
      <c r="C1320">
        <v>284</v>
      </c>
      <c r="D1320">
        <v>45</v>
      </c>
      <c r="E1320">
        <v>2</v>
      </c>
      <c r="F1320" t="s">
        <v>898</v>
      </c>
      <c r="G1320" t="s">
        <v>899</v>
      </c>
    </row>
    <row r="1321" spans="2:7" hidden="1" x14ac:dyDescent="0.35">
      <c r="B1321" t="s">
        <v>770</v>
      </c>
      <c r="C1321">
        <v>245</v>
      </c>
      <c r="D1321">
        <v>91</v>
      </c>
      <c r="E1321">
        <v>2</v>
      </c>
      <c r="F1321" t="s">
        <v>898</v>
      </c>
      <c r="G1321" t="s">
        <v>899</v>
      </c>
    </row>
    <row r="1322" spans="2:7" hidden="1" x14ac:dyDescent="0.35">
      <c r="B1322" t="s">
        <v>774</v>
      </c>
      <c r="C1322">
        <v>561</v>
      </c>
      <c r="D1322">
        <v>118</v>
      </c>
      <c r="E1322">
        <v>5</v>
      </c>
      <c r="F1322" t="s">
        <v>898</v>
      </c>
      <c r="G1322" t="s">
        <v>899</v>
      </c>
    </row>
    <row r="1323" spans="2:7" hidden="1" x14ac:dyDescent="0.35">
      <c r="B1323" t="s">
        <v>782</v>
      </c>
      <c r="C1323">
        <v>330</v>
      </c>
      <c r="D1323">
        <v>81</v>
      </c>
      <c r="E1323">
        <v>1</v>
      </c>
      <c r="F1323" t="s">
        <v>898</v>
      </c>
      <c r="G1323" t="s">
        <v>899</v>
      </c>
    </row>
    <row r="1324" spans="2:7" hidden="1" x14ac:dyDescent="0.35">
      <c r="B1324" t="s">
        <v>790</v>
      </c>
      <c r="C1324">
        <v>1314</v>
      </c>
      <c r="D1324">
        <v>342</v>
      </c>
      <c r="E1324">
        <v>3</v>
      </c>
      <c r="F1324" t="s">
        <v>898</v>
      </c>
      <c r="G1324" t="s">
        <v>899</v>
      </c>
    </row>
    <row r="1325" spans="2:7" hidden="1" x14ac:dyDescent="0.35">
      <c r="B1325" t="s">
        <v>137</v>
      </c>
      <c r="C1325">
        <v>2292</v>
      </c>
      <c r="D1325">
        <v>127</v>
      </c>
      <c r="E1325">
        <v>7</v>
      </c>
      <c r="F1325" t="s">
        <v>898</v>
      </c>
      <c r="G1325" t="s">
        <v>899</v>
      </c>
    </row>
    <row r="1326" spans="2:7" hidden="1" x14ac:dyDescent="0.35">
      <c r="B1326" t="s">
        <v>808</v>
      </c>
      <c r="C1326">
        <v>311</v>
      </c>
      <c r="D1326">
        <v>72</v>
      </c>
      <c r="E1326">
        <v>2</v>
      </c>
      <c r="F1326" t="s">
        <v>898</v>
      </c>
      <c r="G1326" t="s">
        <v>899</v>
      </c>
    </row>
    <row r="1327" spans="2:7" hidden="1" x14ac:dyDescent="0.35">
      <c r="B1327" t="s">
        <v>824</v>
      </c>
      <c r="C1327">
        <v>1117</v>
      </c>
      <c r="D1327">
        <v>447</v>
      </c>
      <c r="E1327">
        <v>10</v>
      </c>
      <c r="F1327" t="s">
        <v>898</v>
      </c>
      <c r="G1327" t="s">
        <v>899</v>
      </c>
    </row>
    <row r="1328" spans="2:7" hidden="1" x14ac:dyDescent="0.35">
      <c r="B1328" t="s">
        <v>832</v>
      </c>
      <c r="C1328">
        <v>143</v>
      </c>
      <c r="D1328">
        <v>32</v>
      </c>
      <c r="E1328">
        <v>1</v>
      </c>
      <c r="F1328" t="s">
        <v>898</v>
      </c>
      <c r="G1328" t="s">
        <v>899</v>
      </c>
    </row>
    <row r="1329" spans="2:7" hidden="1" x14ac:dyDescent="0.35">
      <c r="B1329" t="s">
        <v>844</v>
      </c>
      <c r="C1329">
        <v>676</v>
      </c>
      <c r="D1329">
        <v>195</v>
      </c>
      <c r="E1329">
        <v>5</v>
      </c>
      <c r="F1329" t="s">
        <v>898</v>
      </c>
      <c r="G1329" t="s">
        <v>899</v>
      </c>
    </row>
    <row r="1330" spans="2:7" hidden="1" x14ac:dyDescent="0.35">
      <c r="B1330" t="s">
        <v>844</v>
      </c>
      <c r="C1330">
        <v>669</v>
      </c>
      <c r="D1330">
        <v>74</v>
      </c>
      <c r="E1330">
        <v>5</v>
      </c>
      <c r="F1330" t="s">
        <v>898</v>
      </c>
      <c r="G1330" t="s">
        <v>899</v>
      </c>
    </row>
    <row r="1331" spans="2:7" hidden="1" x14ac:dyDescent="0.35">
      <c r="B1331" t="s">
        <v>846</v>
      </c>
      <c r="C1331">
        <v>246</v>
      </c>
      <c r="D1331">
        <v>61</v>
      </c>
      <c r="E1331">
        <v>2</v>
      </c>
      <c r="F1331" t="s">
        <v>898</v>
      </c>
      <c r="G1331" t="s">
        <v>899</v>
      </c>
    </row>
    <row r="1332" spans="2:7" hidden="1" x14ac:dyDescent="0.35">
      <c r="B1332" t="s">
        <v>846</v>
      </c>
      <c r="C1332">
        <v>594</v>
      </c>
      <c r="D1332">
        <v>89</v>
      </c>
      <c r="E1332">
        <v>3</v>
      </c>
      <c r="F1332" t="s">
        <v>898</v>
      </c>
      <c r="G1332" t="s">
        <v>899</v>
      </c>
    </row>
    <row r="1333" spans="2:7" hidden="1" x14ac:dyDescent="0.35">
      <c r="B1333" t="s">
        <v>141</v>
      </c>
      <c r="C1333">
        <v>1218</v>
      </c>
      <c r="D1333">
        <v>420</v>
      </c>
      <c r="E1333">
        <v>8</v>
      </c>
      <c r="F1333" t="s">
        <v>898</v>
      </c>
      <c r="G1333" t="s">
        <v>899</v>
      </c>
    </row>
    <row r="1334" spans="2:7" hidden="1" x14ac:dyDescent="0.35">
      <c r="B1334" t="s">
        <v>847</v>
      </c>
      <c r="C1334">
        <v>213</v>
      </c>
      <c r="D1334">
        <v>-145</v>
      </c>
      <c r="E1334">
        <v>3</v>
      </c>
      <c r="F1334" t="s">
        <v>898</v>
      </c>
      <c r="G1334" t="s">
        <v>899</v>
      </c>
    </row>
    <row r="1335" spans="2:7" hidden="1" x14ac:dyDescent="0.35">
      <c r="B1335" t="s">
        <v>848</v>
      </c>
      <c r="C1335">
        <v>659</v>
      </c>
      <c r="D1335">
        <v>-37</v>
      </c>
      <c r="E1335">
        <v>2</v>
      </c>
      <c r="F1335" t="s">
        <v>898</v>
      </c>
      <c r="G1335" t="s">
        <v>899</v>
      </c>
    </row>
    <row r="1336" spans="2:7" hidden="1" x14ac:dyDescent="0.35">
      <c r="B1336" t="s">
        <v>188</v>
      </c>
      <c r="C1336">
        <v>618</v>
      </c>
      <c r="D1336">
        <v>27</v>
      </c>
      <c r="E1336">
        <v>4</v>
      </c>
      <c r="F1336" t="s">
        <v>898</v>
      </c>
      <c r="G1336" t="s">
        <v>899</v>
      </c>
    </row>
    <row r="1337" spans="2:7" hidden="1" x14ac:dyDescent="0.35">
      <c r="B1337" t="s">
        <v>189</v>
      </c>
      <c r="C1337">
        <v>450</v>
      </c>
      <c r="D1337">
        <v>190</v>
      </c>
      <c r="E1337">
        <v>4</v>
      </c>
      <c r="F1337" t="s">
        <v>898</v>
      </c>
      <c r="G1337" t="s">
        <v>899</v>
      </c>
    </row>
    <row r="1338" spans="2:7" hidden="1" x14ac:dyDescent="0.35">
      <c r="B1338" t="s">
        <v>862</v>
      </c>
      <c r="C1338">
        <v>359</v>
      </c>
      <c r="D1338">
        <v>-338</v>
      </c>
      <c r="E1338">
        <v>5</v>
      </c>
      <c r="F1338" t="s">
        <v>898</v>
      </c>
      <c r="G1338" t="s">
        <v>899</v>
      </c>
    </row>
    <row r="1339" spans="2:7" hidden="1" x14ac:dyDescent="0.35">
      <c r="B1339" t="s">
        <v>227</v>
      </c>
      <c r="C1339">
        <v>852</v>
      </c>
      <c r="D1339">
        <v>51</v>
      </c>
      <c r="E1339">
        <v>5</v>
      </c>
      <c r="F1339" t="s">
        <v>898</v>
      </c>
      <c r="G1339" t="s">
        <v>899</v>
      </c>
    </row>
    <row r="1340" spans="2:7" hidden="1" x14ac:dyDescent="0.35">
      <c r="B1340" t="s">
        <v>379</v>
      </c>
      <c r="C1340">
        <v>30</v>
      </c>
      <c r="D1340">
        <v>-5</v>
      </c>
      <c r="E1340">
        <v>2</v>
      </c>
      <c r="F1340" t="s">
        <v>898</v>
      </c>
      <c r="G1340" t="s">
        <v>900</v>
      </c>
    </row>
    <row r="1341" spans="2:7" hidden="1" x14ac:dyDescent="0.35">
      <c r="B1341" t="s">
        <v>422</v>
      </c>
      <c r="C1341">
        <v>35</v>
      </c>
      <c r="D1341">
        <v>-8</v>
      </c>
      <c r="E1341">
        <v>2</v>
      </c>
      <c r="F1341" t="s">
        <v>898</v>
      </c>
      <c r="G1341" t="s">
        <v>900</v>
      </c>
    </row>
    <row r="1342" spans="2:7" hidden="1" x14ac:dyDescent="0.35">
      <c r="B1342" t="s">
        <v>428</v>
      </c>
      <c r="C1342">
        <v>89</v>
      </c>
      <c r="D1342">
        <v>-89</v>
      </c>
      <c r="E1342">
        <v>2</v>
      </c>
      <c r="F1342" t="s">
        <v>898</v>
      </c>
      <c r="G1342" t="s">
        <v>900</v>
      </c>
    </row>
    <row r="1343" spans="2:7" hidden="1" x14ac:dyDescent="0.35">
      <c r="B1343" t="s">
        <v>197</v>
      </c>
      <c r="C1343">
        <v>880</v>
      </c>
      <c r="D1343">
        <v>97</v>
      </c>
      <c r="E1343">
        <v>8</v>
      </c>
      <c r="F1343" t="s">
        <v>898</v>
      </c>
      <c r="G1343" t="s">
        <v>900</v>
      </c>
    </row>
    <row r="1344" spans="2:7" hidden="1" x14ac:dyDescent="0.35">
      <c r="B1344" t="s">
        <v>439</v>
      </c>
      <c r="C1344">
        <v>22</v>
      </c>
      <c r="D1344">
        <v>-6</v>
      </c>
      <c r="E1344">
        <v>1</v>
      </c>
      <c r="F1344" t="s">
        <v>898</v>
      </c>
      <c r="G1344" t="s">
        <v>900</v>
      </c>
    </row>
    <row r="1345" spans="2:7" hidden="1" x14ac:dyDescent="0.35">
      <c r="B1345" t="s">
        <v>233</v>
      </c>
      <c r="C1345">
        <v>76</v>
      </c>
      <c r="D1345">
        <v>-92</v>
      </c>
      <c r="E1345">
        <v>8</v>
      </c>
      <c r="F1345" t="s">
        <v>898</v>
      </c>
      <c r="G1345" t="s">
        <v>900</v>
      </c>
    </row>
    <row r="1346" spans="2:7" hidden="1" x14ac:dyDescent="0.35">
      <c r="B1346" t="s">
        <v>237</v>
      </c>
      <c r="C1346">
        <v>122</v>
      </c>
      <c r="D1346">
        <v>-21</v>
      </c>
      <c r="E1346">
        <v>3</v>
      </c>
      <c r="F1346" t="s">
        <v>898</v>
      </c>
      <c r="G1346" t="s">
        <v>900</v>
      </c>
    </row>
    <row r="1347" spans="2:7" hidden="1" x14ac:dyDescent="0.35">
      <c r="B1347" t="s">
        <v>237</v>
      </c>
      <c r="C1347">
        <v>121</v>
      </c>
      <c r="D1347">
        <v>-17</v>
      </c>
      <c r="E1347">
        <v>3</v>
      </c>
      <c r="F1347" t="s">
        <v>898</v>
      </c>
      <c r="G1347" t="s">
        <v>900</v>
      </c>
    </row>
    <row r="1348" spans="2:7" hidden="1" x14ac:dyDescent="0.35">
      <c r="B1348" t="s">
        <v>239</v>
      </c>
      <c r="C1348">
        <v>385</v>
      </c>
      <c r="D1348">
        <v>-77</v>
      </c>
      <c r="E1348">
        <v>11</v>
      </c>
      <c r="F1348" t="s">
        <v>898</v>
      </c>
      <c r="G1348" t="s">
        <v>900</v>
      </c>
    </row>
    <row r="1349" spans="2:7" hidden="1" x14ac:dyDescent="0.35">
      <c r="B1349" t="s">
        <v>471</v>
      </c>
      <c r="C1349">
        <v>123</v>
      </c>
      <c r="D1349">
        <v>17</v>
      </c>
      <c r="E1349">
        <v>3</v>
      </c>
      <c r="F1349" t="s">
        <v>898</v>
      </c>
      <c r="G1349" t="s">
        <v>900</v>
      </c>
    </row>
    <row r="1350" spans="2:7" hidden="1" x14ac:dyDescent="0.35">
      <c r="B1350" t="s">
        <v>488</v>
      </c>
      <c r="C1350">
        <v>155</v>
      </c>
      <c r="D1350">
        <v>56</v>
      </c>
      <c r="E1350">
        <v>3</v>
      </c>
      <c r="F1350" t="s">
        <v>898</v>
      </c>
      <c r="G1350" t="s">
        <v>900</v>
      </c>
    </row>
    <row r="1351" spans="2:7" hidden="1" x14ac:dyDescent="0.35">
      <c r="B1351" t="s">
        <v>23</v>
      </c>
      <c r="C1351">
        <v>51</v>
      </c>
      <c r="D1351">
        <v>7</v>
      </c>
      <c r="E1351">
        <v>2</v>
      </c>
      <c r="F1351" t="s">
        <v>898</v>
      </c>
      <c r="G1351" t="s">
        <v>900</v>
      </c>
    </row>
    <row r="1352" spans="2:7" hidden="1" x14ac:dyDescent="0.35">
      <c r="B1352" t="s">
        <v>23</v>
      </c>
      <c r="C1352">
        <v>264</v>
      </c>
      <c r="D1352">
        <v>-30</v>
      </c>
      <c r="E1352">
        <v>3</v>
      </c>
      <c r="F1352" t="s">
        <v>898</v>
      </c>
      <c r="G1352" t="s">
        <v>900</v>
      </c>
    </row>
    <row r="1353" spans="2:7" hidden="1" x14ac:dyDescent="0.35">
      <c r="B1353" t="s">
        <v>29</v>
      </c>
      <c r="C1353">
        <v>141</v>
      </c>
      <c r="D1353">
        <v>28</v>
      </c>
      <c r="E1353">
        <v>7</v>
      </c>
      <c r="F1353" t="s">
        <v>898</v>
      </c>
      <c r="G1353" t="s">
        <v>900</v>
      </c>
    </row>
    <row r="1354" spans="2:7" hidden="1" x14ac:dyDescent="0.35">
      <c r="B1354" t="s">
        <v>500</v>
      </c>
      <c r="C1354">
        <v>20</v>
      </c>
      <c r="D1354">
        <v>-22</v>
      </c>
      <c r="E1354">
        <v>1</v>
      </c>
      <c r="F1354" t="s">
        <v>898</v>
      </c>
      <c r="G1354" t="s">
        <v>900</v>
      </c>
    </row>
    <row r="1355" spans="2:7" hidden="1" x14ac:dyDescent="0.35">
      <c r="B1355" t="s">
        <v>33</v>
      </c>
      <c r="C1355">
        <v>42</v>
      </c>
      <c r="D1355">
        <v>-23</v>
      </c>
      <c r="E1355">
        <v>2</v>
      </c>
      <c r="F1355" t="s">
        <v>898</v>
      </c>
      <c r="G1355" t="s">
        <v>900</v>
      </c>
    </row>
    <row r="1356" spans="2:7" hidden="1" x14ac:dyDescent="0.35">
      <c r="B1356" t="s">
        <v>37</v>
      </c>
      <c r="C1356">
        <v>191</v>
      </c>
      <c r="D1356">
        <v>13</v>
      </c>
      <c r="E1356">
        <v>8</v>
      </c>
      <c r="F1356" t="s">
        <v>898</v>
      </c>
      <c r="G1356" t="s">
        <v>900</v>
      </c>
    </row>
    <row r="1357" spans="2:7" hidden="1" x14ac:dyDescent="0.35">
      <c r="B1357" t="s">
        <v>201</v>
      </c>
      <c r="C1357">
        <v>216</v>
      </c>
      <c r="D1357">
        <v>-38</v>
      </c>
      <c r="E1357">
        <v>6</v>
      </c>
      <c r="F1357" t="s">
        <v>898</v>
      </c>
      <c r="G1357" t="s">
        <v>900</v>
      </c>
    </row>
    <row r="1358" spans="2:7" hidden="1" x14ac:dyDescent="0.35">
      <c r="B1358" t="s">
        <v>201</v>
      </c>
      <c r="C1358">
        <v>616</v>
      </c>
      <c r="D1358">
        <v>-69</v>
      </c>
      <c r="E1358">
        <v>7</v>
      </c>
      <c r="F1358" t="s">
        <v>898</v>
      </c>
      <c r="G1358" t="s">
        <v>900</v>
      </c>
    </row>
    <row r="1359" spans="2:7" hidden="1" x14ac:dyDescent="0.35">
      <c r="B1359" t="s">
        <v>525</v>
      </c>
      <c r="C1359">
        <v>131</v>
      </c>
      <c r="D1359">
        <v>-154</v>
      </c>
      <c r="E1359">
        <v>8</v>
      </c>
      <c r="F1359" t="s">
        <v>898</v>
      </c>
      <c r="G1359" t="s">
        <v>900</v>
      </c>
    </row>
    <row r="1360" spans="2:7" hidden="1" x14ac:dyDescent="0.35">
      <c r="B1360" t="s">
        <v>531</v>
      </c>
      <c r="C1360">
        <v>70</v>
      </c>
      <c r="D1360">
        <v>-14</v>
      </c>
      <c r="E1360">
        <v>2</v>
      </c>
      <c r="F1360" t="s">
        <v>898</v>
      </c>
      <c r="G1360" t="s">
        <v>900</v>
      </c>
    </row>
    <row r="1361" spans="2:7" hidden="1" x14ac:dyDescent="0.35">
      <c r="B1361" t="s">
        <v>539</v>
      </c>
      <c r="C1361">
        <v>132</v>
      </c>
      <c r="D1361">
        <v>-79</v>
      </c>
      <c r="E1361">
        <v>5</v>
      </c>
      <c r="F1361" t="s">
        <v>898</v>
      </c>
      <c r="G1361" t="s">
        <v>900</v>
      </c>
    </row>
    <row r="1362" spans="2:7" hidden="1" x14ac:dyDescent="0.35">
      <c r="B1362" t="s">
        <v>51</v>
      </c>
      <c r="C1362">
        <v>539</v>
      </c>
      <c r="D1362">
        <v>-146</v>
      </c>
      <c r="E1362">
        <v>7</v>
      </c>
      <c r="F1362" t="s">
        <v>898</v>
      </c>
      <c r="G1362" t="s">
        <v>900</v>
      </c>
    </row>
    <row r="1363" spans="2:7" hidden="1" x14ac:dyDescent="0.35">
      <c r="B1363" t="s">
        <v>51</v>
      </c>
      <c r="C1363">
        <v>78</v>
      </c>
      <c r="D1363">
        <v>-6</v>
      </c>
      <c r="E1363">
        <v>2</v>
      </c>
      <c r="F1363" t="s">
        <v>898</v>
      </c>
      <c r="G1363" t="s">
        <v>900</v>
      </c>
    </row>
    <row r="1364" spans="2:7" hidden="1" x14ac:dyDescent="0.35">
      <c r="B1364" t="s">
        <v>542</v>
      </c>
      <c r="C1364">
        <v>47</v>
      </c>
      <c r="D1364">
        <v>-114</v>
      </c>
      <c r="E1364">
        <v>5</v>
      </c>
      <c r="F1364" t="s">
        <v>898</v>
      </c>
      <c r="G1364" t="s">
        <v>900</v>
      </c>
    </row>
    <row r="1365" spans="2:7" hidden="1" x14ac:dyDescent="0.35">
      <c r="B1365" t="s">
        <v>55</v>
      </c>
      <c r="C1365">
        <v>98</v>
      </c>
      <c r="D1365">
        <v>9</v>
      </c>
      <c r="E1365">
        <v>2</v>
      </c>
      <c r="F1365" t="s">
        <v>898</v>
      </c>
      <c r="G1365" t="s">
        <v>900</v>
      </c>
    </row>
    <row r="1366" spans="2:7" hidden="1" x14ac:dyDescent="0.35">
      <c r="B1366" t="s">
        <v>59</v>
      </c>
      <c r="C1366">
        <v>110</v>
      </c>
      <c r="D1366">
        <v>35</v>
      </c>
      <c r="E1366">
        <v>1</v>
      </c>
      <c r="F1366" t="s">
        <v>898</v>
      </c>
      <c r="G1366" t="s">
        <v>900</v>
      </c>
    </row>
    <row r="1367" spans="2:7" hidden="1" x14ac:dyDescent="0.35">
      <c r="B1367" t="s">
        <v>561</v>
      </c>
      <c r="C1367">
        <v>38</v>
      </c>
      <c r="D1367">
        <v>-6</v>
      </c>
      <c r="E1367">
        <v>2</v>
      </c>
      <c r="F1367" t="s">
        <v>898</v>
      </c>
      <c r="G1367" t="s">
        <v>900</v>
      </c>
    </row>
    <row r="1368" spans="2:7" hidden="1" x14ac:dyDescent="0.35">
      <c r="B1368" t="s">
        <v>573</v>
      </c>
      <c r="C1368">
        <v>140</v>
      </c>
      <c r="D1368">
        <v>-58</v>
      </c>
      <c r="E1368">
        <v>4</v>
      </c>
      <c r="F1368" t="s">
        <v>898</v>
      </c>
      <c r="G1368" t="s">
        <v>900</v>
      </c>
    </row>
    <row r="1369" spans="2:7" hidden="1" x14ac:dyDescent="0.35">
      <c r="B1369" t="s">
        <v>577</v>
      </c>
      <c r="C1369">
        <v>67</v>
      </c>
      <c r="D1369">
        <v>-86</v>
      </c>
      <c r="E1369">
        <v>9</v>
      </c>
      <c r="F1369" t="s">
        <v>898</v>
      </c>
      <c r="G1369" t="s">
        <v>900</v>
      </c>
    </row>
    <row r="1370" spans="2:7" hidden="1" x14ac:dyDescent="0.35">
      <c r="B1370" t="s">
        <v>79</v>
      </c>
      <c r="C1370">
        <v>94</v>
      </c>
      <c r="D1370">
        <v>20</v>
      </c>
      <c r="E1370">
        <v>2</v>
      </c>
      <c r="F1370" t="s">
        <v>898</v>
      </c>
      <c r="G1370" t="s">
        <v>900</v>
      </c>
    </row>
    <row r="1371" spans="2:7" hidden="1" x14ac:dyDescent="0.35">
      <c r="B1371" t="s">
        <v>298</v>
      </c>
      <c r="C1371">
        <v>104</v>
      </c>
      <c r="D1371">
        <v>2</v>
      </c>
      <c r="E1371">
        <v>2</v>
      </c>
      <c r="F1371" t="s">
        <v>898</v>
      </c>
      <c r="G1371" t="s">
        <v>900</v>
      </c>
    </row>
    <row r="1372" spans="2:7" hidden="1" x14ac:dyDescent="0.35">
      <c r="B1372" t="s">
        <v>298</v>
      </c>
      <c r="C1372">
        <v>103</v>
      </c>
      <c r="D1372">
        <v>50</v>
      </c>
      <c r="E1372">
        <v>2</v>
      </c>
      <c r="F1372" t="s">
        <v>898</v>
      </c>
      <c r="G1372" t="s">
        <v>900</v>
      </c>
    </row>
    <row r="1373" spans="2:7" hidden="1" x14ac:dyDescent="0.35">
      <c r="B1373" t="s">
        <v>81</v>
      </c>
      <c r="C1373">
        <v>101</v>
      </c>
      <c r="D1373">
        <v>38</v>
      </c>
      <c r="E1373">
        <v>2</v>
      </c>
      <c r="F1373" t="s">
        <v>898</v>
      </c>
      <c r="G1373" t="s">
        <v>900</v>
      </c>
    </row>
    <row r="1374" spans="2:7" hidden="1" x14ac:dyDescent="0.35">
      <c r="B1374" t="s">
        <v>626</v>
      </c>
      <c r="C1374">
        <v>264</v>
      </c>
      <c r="D1374">
        <v>71</v>
      </c>
      <c r="E1374">
        <v>10</v>
      </c>
      <c r="F1374" t="s">
        <v>898</v>
      </c>
      <c r="G1374" t="s">
        <v>900</v>
      </c>
    </row>
    <row r="1375" spans="2:7" hidden="1" x14ac:dyDescent="0.35">
      <c r="B1375" t="s">
        <v>628</v>
      </c>
      <c r="C1375">
        <v>147</v>
      </c>
      <c r="D1375">
        <v>21</v>
      </c>
      <c r="E1375">
        <v>3</v>
      </c>
      <c r="F1375" t="s">
        <v>898</v>
      </c>
      <c r="G1375" t="s">
        <v>900</v>
      </c>
    </row>
    <row r="1376" spans="2:7" hidden="1" x14ac:dyDescent="0.35">
      <c r="B1376" t="s">
        <v>636</v>
      </c>
      <c r="C1376">
        <v>95</v>
      </c>
      <c r="D1376">
        <v>11</v>
      </c>
      <c r="E1376">
        <v>4</v>
      </c>
      <c r="F1376" t="s">
        <v>898</v>
      </c>
      <c r="G1376" t="s">
        <v>900</v>
      </c>
    </row>
    <row r="1377" spans="2:7" hidden="1" x14ac:dyDescent="0.35">
      <c r="B1377" t="s">
        <v>213</v>
      </c>
      <c r="C1377">
        <v>342</v>
      </c>
      <c r="D1377">
        <v>154</v>
      </c>
      <c r="E1377">
        <v>7</v>
      </c>
      <c r="F1377" t="s">
        <v>898</v>
      </c>
      <c r="G1377" t="s">
        <v>900</v>
      </c>
    </row>
    <row r="1378" spans="2:7" hidden="1" x14ac:dyDescent="0.35">
      <c r="B1378" t="s">
        <v>170</v>
      </c>
      <c r="C1378">
        <v>550</v>
      </c>
      <c r="D1378">
        <v>242</v>
      </c>
      <c r="E1378">
        <v>5</v>
      </c>
      <c r="F1378" t="s">
        <v>898</v>
      </c>
      <c r="G1378" t="s">
        <v>900</v>
      </c>
    </row>
    <row r="1379" spans="2:7" hidden="1" x14ac:dyDescent="0.35">
      <c r="B1379" t="s">
        <v>93</v>
      </c>
      <c r="C1379">
        <v>227</v>
      </c>
      <c r="D1379">
        <v>59</v>
      </c>
      <c r="E1379">
        <v>2</v>
      </c>
      <c r="F1379" t="s">
        <v>898</v>
      </c>
      <c r="G1379" t="s">
        <v>900</v>
      </c>
    </row>
    <row r="1380" spans="2:7" hidden="1" x14ac:dyDescent="0.35">
      <c r="B1380" t="s">
        <v>652</v>
      </c>
      <c r="C1380">
        <v>57</v>
      </c>
      <c r="D1380">
        <v>7</v>
      </c>
      <c r="E1380">
        <v>3</v>
      </c>
      <c r="F1380" t="s">
        <v>898</v>
      </c>
      <c r="G1380" t="s">
        <v>900</v>
      </c>
    </row>
    <row r="1381" spans="2:7" hidden="1" x14ac:dyDescent="0.35">
      <c r="B1381" t="s">
        <v>315</v>
      </c>
      <c r="C1381">
        <v>165</v>
      </c>
      <c r="D1381">
        <v>46</v>
      </c>
      <c r="E1381">
        <v>3</v>
      </c>
      <c r="F1381" t="s">
        <v>898</v>
      </c>
      <c r="G1381" t="s">
        <v>900</v>
      </c>
    </row>
    <row r="1382" spans="2:7" hidden="1" x14ac:dyDescent="0.35">
      <c r="B1382" t="s">
        <v>671</v>
      </c>
      <c r="C1382">
        <v>127</v>
      </c>
      <c r="D1382">
        <v>29</v>
      </c>
      <c r="E1382">
        <v>3</v>
      </c>
      <c r="F1382" t="s">
        <v>898</v>
      </c>
      <c r="G1382" t="s">
        <v>900</v>
      </c>
    </row>
    <row r="1383" spans="2:7" hidden="1" x14ac:dyDescent="0.35">
      <c r="B1383" t="s">
        <v>321</v>
      </c>
      <c r="C1383">
        <v>79</v>
      </c>
      <c r="D1383">
        <v>-2</v>
      </c>
      <c r="E1383">
        <v>2</v>
      </c>
      <c r="F1383" t="s">
        <v>898</v>
      </c>
      <c r="G1383" t="s">
        <v>900</v>
      </c>
    </row>
    <row r="1384" spans="2:7" hidden="1" x14ac:dyDescent="0.35">
      <c r="B1384" t="s">
        <v>690</v>
      </c>
      <c r="C1384">
        <v>159</v>
      </c>
      <c r="D1384">
        <v>2</v>
      </c>
      <c r="E1384">
        <v>3</v>
      </c>
      <c r="F1384" t="s">
        <v>898</v>
      </c>
      <c r="G1384" t="s">
        <v>900</v>
      </c>
    </row>
    <row r="1385" spans="2:7" hidden="1" x14ac:dyDescent="0.35">
      <c r="B1385" t="s">
        <v>108</v>
      </c>
      <c r="C1385">
        <v>60</v>
      </c>
      <c r="D1385">
        <v>-10</v>
      </c>
      <c r="E1385">
        <v>2</v>
      </c>
      <c r="F1385" t="s">
        <v>898</v>
      </c>
      <c r="G1385" t="s">
        <v>900</v>
      </c>
    </row>
    <row r="1386" spans="2:7" hidden="1" x14ac:dyDescent="0.35">
      <c r="B1386" t="s">
        <v>110</v>
      </c>
      <c r="C1386">
        <v>244</v>
      </c>
      <c r="D1386">
        <v>122</v>
      </c>
      <c r="E1386">
        <v>5</v>
      </c>
      <c r="F1386" t="s">
        <v>898</v>
      </c>
      <c r="G1386" t="s">
        <v>900</v>
      </c>
    </row>
    <row r="1387" spans="2:7" hidden="1" x14ac:dyDescent="0.35">
      <c r="B1387" t="s">
        <v>718</v>
      </c>
      <c r="C1387">
        <v>25</v>
      </c>
      <c r="D1387">
        <v>10</v>
      </c>
      <c r="E1387">
        <v>1</v>
      </c>
      <c r="F1387" t="s">
        <v>898</v>
      </c>
      <c r="G1387" t="s">
        <v>900</v>
      </c>
    </row>
    <row r="1388" spans="2:7" hidden="1" x14ac:dyDescent="0.35">
      <c r="B1388" t="s">
        <v>114</v>
      </c>
      <c r="C1388">
        <v>71</v>
      </c>
      <c r="D1388">
        <v>-14</v>
      </c>
      <c r="E1388">
        <v>4</v>
      </c>
      <c r="F1388" t="s">
        <v>898</v>
      </c>
      <c r="G1388" t="s">
        <v>900</v>
      </c>
    </row>
    <row r="1389" spans="2:7" hidden="1" x14ac:dyDescent="0.35">
      <c r="B1389" t="s">
        <v>729</v>
      </c>
      <c r="C1389">
        <v>61</v>
      </c>
      <c r="D1389">
        <v>1</v>
      </c>
      <c r="E1389">
        <v>2</v>
      </c>
      <c r="F1389" t="s">
        <v>898</v>
      </c>
      <c r="G1389" t="s">
        <v>900</v>
      </c>
    </row>
    <row r="1390" spans="2:7" hidden="1" x14ac:dyDescent="0.35">
      <c r="B1390" t="s">
        <v>216</v>
      </c>
      <c r="C1390">
        <v>152</v>
      </c>
      <c r="D1390">
        <v>23</v>
      </c>
      <c r="E1390">
        <v>3</v>
      </c>
      <c r="F1390" t="s">
        <v>898</v>
      </c>
      <c r="G1390" t="s">
        <v>900</v>
      </c>
    </row>
    <row r="1391" spans="2:7" hidden="1" x14ac:dyDescent="0.35">
      <c r="B1391" t="s">
        <v>120</v>
      </c>
      <c r="C1391">
        <v>190</v>
      </c>
      <c r="D1391">
        <v>19</v>
      </c>
      <c r="E1391">
        <v>9</v>
      </c>
      <c r="F1391" t="s">
        <v>898</v>
      </c>
      <c r="G1391" t="s">
        <v>900</v>
      </c>
    </row>
    <row r="1392" spans="2:7" hidden="1" x14ac:dyDescent="0.35">
      <c r="B1392" t="s">
        <v>745</v>
      </c>
      <c r="C1392">
        <v>189</v>
      </c>
      <c r="D1392">
        <v>60</v>
      </c>
      <c r="E1392">
        <v>4</v>
      </c>
      <c r="F1392" t="s">
        <v>898</v>
      </c>
      <c r="G1392" t="s">
        <v>900</v>
      </c>
    </row>
    <row r="1393" spans="2:7" hidden="1" x14ac:dyDescent="0.35">
      <c r="B1393" t="s">
        <v>337</v>
      </c>
      <c r="C1393">
        <v>53</v>
      </c>
      <c r="D1393">
        <v>8</v>
      </c>
      <c r="E1393">
        <v>3</v>
      </c>
      <c r="F1393" t="s">
        <v>898</v>
      </c>
      <c r="G1393" t="s">
        <v>900</v>
      </c>
    </row>
    <row r="1394" spans="2:7" hidden="1" x14ac:dyDescent="0.35">
      <c r="B1394" t="s">
        <v>754</v>
      </c>
      <c r="C1394">
        <v>119</v>
      </c>
      <c r="D1394">
        <v>-24</v>
      </c>
      <c r="E1394">
        <v>4</v>
      </c>
      <c r="F1394" t="s">
        <v>898</v>
      </c>
      <c r="G1394" t="s">
        <v>900</v>
      </c>
    </row>
    <row r="1395" spans="2:7" hidden="1" x14ac:dyDescent="0.35">
      <c r="B1395" t="s">
        <v>774</v>
      </c>
      <c r="C1395">
        <v>161</v>
      </c>
      <c r="D1395">
        <v>-229</v>
      </c>
      <c r="E1395">
        <v>8</v>
      </c>
      <c r="F1395" t="s">
        <v>898</v>
      </c>
      <c r="G1395" t="s">
        <v>900</v>
      </c>
    </row>
    <row r="1396" spans="2:7" hidden="1" x14ac:dyDescent="0.35">
      <c r="B1396" t="s">
        <v>777</v>
      </c>
      <c r="C1396">
        <v>749</v>
      </c>
      <c r="D1396">
        <v>307</v>
      </c>
      <c r="E1396">
        <v>7</v>
      </c>
      <c r="F1396" t="s">
        <v>898</v>
      </c>
      <c r="G1396" t="s">
        <v>900</v>
      </c>
    </row>
    <row r="1397" spans="2:7" hidden="1" x14ac:dyDescent="0.35">
      <c r="B1397" t="s">
        <v>786</v>
      </c>
      <c r="C1397">
        <v>221</v>
      </c>
      <c r="D1397">
        <v>26</v>
      </c>
      <c r="E1397">
        <v>7</v>
      </c>
      <c r="F1397" t="s">
        <v>898</v>
      </c>
      <c r="G1397" t="s">
        <v>900</v>
      </c>
    </row>
    <row r="1398" spans="2:7" hidden="1" x14ac:dyDescent="0.35">
      <c r="B1398" t="s">
        <v>786</v>
      </c>
      <c r="C1398">
        <v>201</v>
      </c>
      <c r="D1398">
        <v>32</v>
      </c>
      <c r="E1398">
        <v>4</v>
      </c>
      <c r="F1398" t="s">
        <v>898</v>
      </c>
      <c r="G1398" t="s">
        <v>900</v>
      </c>
    </row>
    <row r="1399" spans="2:7" hidden="1" x14ac:dyDescent="0.35">
      <c r="B1399" t="s">
        <v>792</v>
      </c>
      <c r="C1399">
        <v>217</v>
      </c>
      <c r="D1399">
        <v>72</v>
      </c>
      <c r="E1399">
        <v>2</v>
      </c>
      <c r="F1399" t="s">
        <v>898</v>
      </c>
      <c r="G1399" t="s">
        <v>900</v>
      </c>
    </row>
    <row r="1400" spans="2:7" hidden="1" x14ac:dyDescent="0.35">
      <c r="B1400" t="s">
        <v>794</v>
      </c>
      <c r="C1400">
        <v>50</v>
      </c>
      <c r="D1400">
        <v>-28</v>
      </c>
      <c r="E1400">
        <v>5</v>
      </c>
      <c r="F1400" t="s">
        <v>898</v>
      </c>
      <c r="G1400" t="s">
        <v>900</v>
      </c>
    </row>
    <row r="1401" spans="2:7" hidden="1" x14ac:dyDescent="0.35">
      <c r="B1401" t="s">
        <v>796</v>
      </c>
      <c r="C1401">
        <v>109</v>
      </c>
      <c r="D1401">
        <v>40</v>
      </c>
      <c r="E1401">
        <v>1</v>
      </c>
      <c r="F1401" t="s">
        <v>898</v>
      </c>
      <c r="G1401" t="s">
        <v>900</v>
      </c>
    </row>
    <row r="1402" spans="2:7" hidden="1" x14ac:dyDescent="0.35">
      <c r="B1402" t="s">
        <v>799</v>
      </c>
      <c r="C1402">
        <v>149</v>
      </c>
      <c r="D1402">
        <v>17</v>
      </c>
      <c r="E1402">
        <v>4</v>
      </c>
      <c r="F1402" t="s">
        <v>898</v>
      </c>
      <c r="G1402" t="s">
        <v>900</v>
      </c>
    </row>
    <row r="1403" spans="2:7" hidden="1" x14ac:dyDescent="0.35">
      <c r="B1403" t="s">
        <v>183</v>
      </c>
      <c r="C1403">
        <v>652</v>
      </c>
      <c r="D1403">
        <v>13</v>
      </c>
      <c r="E1403">
        <v>6</v>
      </c>
      <c r="F1403" t="s">
        <v>898</v>
      </c>
      <c r="G1403" t="s">
        <v>900</v>
      </c>
    </row>
    <row r="1404" spans="2:7" hidden="1" x14ac:dyDescent="0.35">
      <c r="B1404" t="s">
        <v>183</v>
      </c>
      <c r="C1404">
        <v>114</v>
      </c>
      <c r="D1404">
        <v>41</v>
      </c>
      <c r="E1404">
        <v>6</v>
      </c>
      <c r="F1404" t="s">
        <v>898</v>
      </c>
      <c r="G1404" t="s">
        <v>900</v>
      </c>
    </row>
    <row r="1405" spans="2:7" hidden="1" x14ac:dyDescent="0.35">
      <c r="B1405" t="s">
        <v>812</v>
      </c>
      <c r="C1405">
        <v>176</v>
      </c>
      <c r="D1405">
        <v>-13</v>
      </c>
      <c r="E1405">
        <v>5</v>
      </c>
      <c r="F1405" t="s">
        <v>898</v>
      </c>
      <c r="G1405" t="s">
        <v>900</v>
      </c>
    </row>
    <row r="1406" spans="2:7" hidden="1" x14ac:dyDescent="0.35">
      <c r="B1406" t="s">
        <v>819</v>
      </c>
      <c r="C1406">
        <v>326</v>
      </c>
      <c r="D1406">
        <v>107</v>
      </c>
      <c r="E1406">
        <v>3</v>
      </c>
      <c r="F1406" t="s">
        <v>898</v>
      </c>
      <c r="G1406" t="s">
        <v>900</v>
      </c>
    </row>
    <row r="1407" spans="2:7" hidden="1" x14ac:dyDescent="0.35">
      <c r="B1407" t="s">
        <v>822</v>
      </c>
      <c r="C1407">
        <v>122</v>
      </c>
      <c r="D1407">
        <v>59</v>
      </c>
      <c r="E1407">
        <v>7</v>
      </c>
      <c r="F1407" t="s">
        <v>898</v>
      </c>
      <c r="G1407" t="s">
        <v>900</v>
      </c>
    </row>
    <row r="1408" spans="2:7" hidden="1" x14ac:dyDescent="0.35">
      <c r="B1408" t="s">
        <v>824</v>
      </c>
      <c r="C1408">
        <v>29</v>
      </c>
      <c r="D1408">
        <v>0</v>
      </c>
      <c r="E1408">
        <v>3</v>
      </c>
      <c r="F1408" t="s">
        <v>898</v>
      </c>
      <c r="G1408" t="s">
        <v>900</v>
      </c>
    </row>
    <row r="1409" spans="2:7" hidden="1" x14ac:dyDescent="0.35">
      <c r="B1409" t="s">
        <v>343</v>
      </c>
      <c r="C1409">
        <v>341</v>
      </c>
      <c r="D1409">
        <v>44</v>
      </c>
      <c r="E1409">
        <v>7</v>
      </c>
      <c r="F1409" t="s">
        <v>898</v>
      </c>
      <c r="G1409" t="s">
        <v>900</v>
      </c>
    </row>
    <row r="1410" spans="2:7" hidden="1" x14ac:dyDescent="0.35">
      <c r="B1410" t="s">
        <v>838</v>
      </c>
      <c r="C1410">
        <v>176</v>
      </c>
      <c r="D1410">
        <v>-28</v>
      </c>
      <c r="E1410">
        <v>5</v>
      </c>
      <c r="F1410" t="s">
        <v>898</v>
      </c>
      <c r="G1410" t="s">
        <v>900</v>
      </c>
    </row>
    <row r="1411" spans="2:7" hidden="1" x14ac:dyDescent="0.35">
      <c r="B1411" t="s">
        <v>842</v>
      </c>
      <c r="C1411">
        <v>302</v>
      </c>
      <c r="D1411">
        <v>75</v>
      </c>
      <c r="E1411">
        <v>6</v>
      </c>
      <c r="F1411" t="s">
        <v>898</v>
      </c>
      <c r="G1411" t="s">
        <v>900</v>
      </c>
    </row>
    <row r="1412" spans="2:7" hidden="1" x14ac:dyDescent="0.35">
      <c r="B1412" t="s">
        <v>855</v>
      </c>
      <c r="C1412">
        <v>582</v>
      </c>
      <c r="D1412">
        <v>262</v>
      </c>
      <c r="E1412">
        <v>5</v>
      </c>
      <c r="F1412" t="s">
        <v>898</v>
      </c>
      <c r="G1412" t="s">
        <v>900</v>
      </c>
    </row>
    <row r="1413" spans="2:7" hidden="1" x14ac:dyDescent="0.35">
      <c r="B1413" t="s">
        <v>146</v>
      </c>
      <c r="C1413">
        <v>24</v>
      </c>
      <c r="D1413">
        <v>-30</v>
      </c>
      <c r="E1413">
        <v>1</v>
      </c>
      <c r="F1413" t="s">
        <v>898</v>
      </c>
      <c r="G1413" t="s">
        <v>901</v>
      </c>
    </row>
    <row r="1414" spans="2:7" hidden="1" x14ac:dyDescent="0.35">
      <c r="B1414" t="s">
        <v>371</v>
      </c>
      <c r="C1414">
        <v>476</v>
      </c>
      <c r="D1414">
        <v>0</v>
      </c>
      <c r="E1414">
        <v>3</v>
      </c>
      <c r="F1414" t="s">
        <v>898</v>
      </c>
      <c r="G1414" t="s">
        <v>901</v>
      </c>
    </row>
    <row r="1415" spans="2:7" hidden="1" x14ac:dyDescent="0.35">
      <c r="B1415" t="s">
        <v>386</v>
      </c>
      <c r="C1415">
        <v>259</v>
      </c>
      <c r="D1415">
        <v>-55</v>
      </c>
      <c r="E1415">
        <v>2</v>
      </c>
      <c r="F1415" t="s">
        <v>898</v>
      </c>
      <c r="G1415" t="s">
        <v>901</v>
      </c>
    </row>
    <row r="1416" spans="2:7" hidden="1" x14ac:dyDescent="0.35">
      <c r="B1416" t="s">
        <v>228</v>
      </c>
      <c r="C1416">
        <v>1103</v>
      </c>
      <c r="D1416">
        <v>-276</v>
      </c>
      <c r="E1416">
        <v>3</v>
      </c>
      <c r="F1416" t="s">
        <v>898</v>
      </c>
      <c r="G1416" t="s">
        <v>901</v>
      </c>
    </row>
    <row r="1417" spans="2:7" hidden="1" x14ac:dyDescent="0.35">
      <c r="B1417" t="s">
        <v>434</v>
      </c>
      <c r="C1417">
        <v>389</v>
      </c>
      <c r="D1417">
        <v>-83</v>
      </c>
      <c r="E1417">
        <v>3</v>
      </c>
      <c r="F1417" t="s">
        <v>898</v>
      </c>
      <c r="G1417" t="s">
        <v>901</v>
      </c>
    </row>
    <row r="1418" spans="2:7" hidden="1" x14ac:dyDescent="0.35">
      <c r="B1418" t="s">
        <v>13</v>
      </c>
      <c r="C1418">
        <v>172</v>
      </c>
      <c r="D1418">
        <v>-103</v>
      </c>
      <c r="E1418">
        <v>3</v>
      </c>
      <c r="F1418" t="s">
        <v>898</v>
      </c>
      <c r="G1418" t="s">
        <v>901</v>
      </c>
    </row>
    <row r="1419" spans="2:7" hidden="1" x14ac:dyDescent="0.35">
      <c r="B1419" t="s">
        <v>13</v>
      </c>
      <c r="C1419">
        <v>823</v>
      </c>
      <c r="D1419">
        <v>-18</v>
      </c>
      <c r="E1419">
        <v>7</v>
      </c>
      <c r="F1419" t="s">
        <v>898</v>
      </c>
      <c r="G1419" t="s">
        <v>901</v>
      </c>
    </row>
    <row r="1420" spans="2:7" hidden="1" x14ac:dyDescent="0.35">
      <c r="B1420" t="s">
        <v>455</v>
      </c>
      <c r="C1420">
        <v>1327</v>
      </c>
      <c r="D1420">
        <v>318</v>
      </c>
      <c r="E1420">
        <v>8</v>
      </c>
      <c r="F1420" t="s">
        <v>898</v>
      </c>
      <c r="G1420" t="s">
        <v>901</v>
      </c>
    </row>
    <row r="1421" spans="2:7" hidden="1" x14ac:dyDescent="0.35">
      <c r="B1421" t="s">
        <v>15</v>
      </c>
      <c r="C1421">
        <v>312</v>
      </c>
      <c r="D1421">
        <v>-312</v>
      </c>
      <c r="E1421">
        <v>7</v>
      </c>
      <c r="F1421" t="s">
        <v>898</v>
      </c>
      <c r="G1421" t="s">
        <v>901</v>
      </c>
    </row>
    <row r="1422" spans="2:7" hidden="1" x14ac:dyDescent="0.35">
      <c r="B1422" t="s">
        <v>153</v>
      </c>
      <c r="C1422">
        <v>288</v>
      </c>
      <c r="D1422">
        <v>-180</v>
      </c>
      <c r="E1422">
        <v>4</v>
      </c>
      <c r="F1422" t="s">
        <v>898</v>
      </c>
      <c r="G1422" t="s">
        <v>901</v>
      </c>
    </row>
    <row r="1423" spans="2:7" hidden="1" x14ac:dyDescent="0.35">
      <c r="B1423" t="s">
        <v>462</v>
      </c>
      <c r="C1423">
        <v>224</v>
      </c>
      <c r="D1423">
        <v>-81</v>
      </c>
      <c r="E1423">
        <v>3</v>
      </c>
      <c r="F1423" t="s">
        <v>898</v>
      </c>
      <c r="G1423" t="s">
        <v>901</v>
      </c>
    </row>
    <row r="1424" spans="2:7" hidden="1" x14ac:dyDescent="0.35">
      <c r="B1424" t="s">
        <v>462</v>
      </c>
      <c r="C1424">
        <v>58</v>
      </c>
      <c r="D1424">
        <v>-42</v>
      </c>
      <c r="E1424">
        <v>2</v>
      </c>
      <c r="F1424" t="s">
        <v>898</v>
      </c>
      <c r="G1424" t="s">
        <v>901</v>
      </c>
    </row>
    <row r="1425" spans="2:7" hidden="1" x14ac:dyDescent="0.35">
      <c r="B1425" t="s">
        <v>462</v>
      </c>
      <c r="C1425">
        <v>145</v>
      </c>
      <c r="D1425">
        <v>-104</v>
      </c>
      <c r="E1425">
        <v>5</v>
      </c>
      <c r="F1425" t="s">
        <v>898</v>
      </c>
      <c r="G1425" t="s">
        <v>901</v>
      </c>
    </row>
    <row r="1426" spans="2:7" hidden="1" x14ac:dyDescent="0.35">
      <c r="B1426" t="s">
        <v>462</v>
      </c>
      <c r="C1426">
        <v>55</v>
      </c>
      <c r="D1426">
        <v>-33</v>
      </c>
      <c r="E1426">
        <v>2</v>
      </c>
      <c r="F1426" t="s">
        <v>898</v>
      </c>
      <c r="G1426" t="s">
        <v>901</v>
      </c>
    </row>
    <row r="1427" spans="2:7" hidden="1" x14ac:dyDescent="0.35">
      <c r="B1427" t="s">
        <v>21</v>
      </c>
      <c r="C1427">
        <v>243</v>
      </c>
      <c r="D1427">
        <v>-14</v>
      </c>
      <c r="E1427">
        <v>2</v>
      </c>
      <c r="F1427" t="s">
        <v>898</v>
      </c>
      <c r="G1427" t="s">
        <v>901</v>
      </c>
    </row>
    <row r="1428" spans="2:7" hidden="1" x14ac:dyDescent="0.35">
      <c r="B1428" t="s">
        <v>243</v>
      </c>
      <c r="C1428">
        <v>134</v>
      </c>
      <c r="D1428">
        <v>42</v>
      </c>
      <c r="E1428">
        <v>2</v>
      </c>
      <c r="F1428" t="s">
        <v>898</v>
      </c>
      <c r="G1428" t="s">
        <v>901</v>
      </c>
    </row>
    <row r="1429" spans="2:7" hidden="1" x14ac:dyDescent="0.35">
      <c r="B1429" t="s">
        <v>498</v>
      </c>
      <c r="C1429">
        <v>516</v>
      </c>
      <c r="D1429">
        <v>-392</v>
      </c>
      <c r="E1429">
        <v>8</v>
      </c>
      <c r="F1429" t="s">
        <v>898</v>
      </c>
      <c r="G1429" t="s">
        <v>901</v>
      </c>
    </row>
    <row r="1430" spans="2:7" hidden="1" x14ac:dyDescent="0.35">
      <c r="B1430" t="s">
        <v>31</v>
      </c>
      <c r="C1430">
        <v>98</v>
      </c>
      <c r="D1430">
        <v>-45</v>
      </c>
      <c r="E1430">
        <v>2</v>
      </c>
      <c r="F1430" t="s">
        <v>898</v>
      </c>
      <c r="G1430" t="s">
        <v>901</v>
      </c>
    </row>
    <row r="1431" spans="2:7" hidden="1" x14ac:dyDescent="0.35">
      <c r="B1431" t="s">
        <v>253</v>
      </c>
      <c r="C1431">
        <v>424</v>
      </c>
      <c r="D1431">
        <v>-17</v>
      </c>
      <c r="E1431">
        <v>9</v>
      </c>
      <c r="F1431" t="s">
        <v>898</v>
      </c>
      <c r="G1431" t="s">
        <v>901</v>
      </c>
    </row>
    <row r="1432" spans="2:7" hidden="1" x14ac:dyDescent="0.35">
      <c r="B1432" t="s">
        <v>39</v>
      </c>
      <c r="C1432">
        <v>41</v>
      </c>
      <c r="D1432">
        <v>-6</v>
      </c>
      <c r="E1432">
        <v>1</v>
      </c>
      <c r="F1432" t="s">
        <v>898</v>
      </c>
      <c r="G1432" t="s">
        <v>901</v>
      </c>
    </row>
    <row r="1433" spans="2:7" hidden="1" x14ac:dyDescent="0.35">
      <c r="B1433" t="s">
        <v>506</v>
      </c>
      <c r="C1433">
        <v>158</v>
      </c>
      <c r="D1433">
        <v>-63</v>
      </c>
      <c r="E1433">
        <v>4</v>
      </c>
      <c r="F1433" t="s">
        <v>898</v>
      </c>
      <c r="G1433" t="s">
        <v>901</v>
      </c>
    </row>
    <row r="1434" spans="2:7" hidden="1" x14ac:dyDescent="0.35">
      <c r="B1434" t="s">
        <v>513</v>
      </c>
      <c r="C1434">
        <v>55</v>
      </c>
      <c r="D1434">
        <v>-33</v>
      </c>
      <c r="E1434">
        <v>2</v>
      </c>
      <c r="F1434" t="s">
        <v>898</v>
      </c>
      <c r="G1434" t="s">
        <v>901</v>
      </c>
    </row>
    <row r="1435" spans="2:7" hidden="1" x14ac:dyDescent="0.35">
      <c r="B1435" t="s">
        <v>515</v>
      </c>
      <c r="C1435">
        <v>30</v>
      </c>
      <c r="D1435">
        <v>-35</v>
      </c>
      <c r="E1435">
        <v>1</v>
      </c>
      <c r="F1435" t="s">
        <v>898</v>
      </c>
      <c r="G1435" t="s">
        <v>901</v>
      </c>
    </row>
    <row r="1436" spans="2:7" hidden="1" x14ac:dyDescent="0.35">
      <c r="B1436" t="s">
        <v>523</v>
      </c>
      <c r="C1436">
        <v>473</v>
      </c>
      <c r="D1436">
        <v>42</v>
      </c>
      <c r="E1436">
        <v>4</v>
      </c>
      <c r="F1436" t="s">
        <v>898</v>
      </c>
      <c r="G1436" t="s">
        <v>901</v>
      </c>
    </row>
    <row r="1437" spans="2:7" hidden="1" x14ac:dyDescent="0.35">
      <c r="B1437" t="s">
        <v>523</v>
      </c>
      <c r="C1437">
        <v>83</v>
      </c>
      <c r="D1437">
        <v>-81</v>
      </c>
      <c r="E1437">
        <v>3</v>
      </c>
      <c r="F1437" t="s">
        <v>898</v>
      </c>
      <c r="G1437" t="s">
        <v>901</v>
      </c>
    </row>
    <row r="1438" spans="2:7" hidden="1" x14ac:dyDescent="0.35">
      <c r="B1438" t="s">
        <v>532</v>
      </c>
      <c r="C1438">
        <v>133</v>
      </c>
      <c r="D1438">
        <v>-56</v>
      </c>
      <c r="E1438">
        <v>2</v>
      </c>
      <c r="F1438" t="s">
        <v>898</v>
      </c>
      <c r="G1438" t="s">
        <v>901</v>
      </c>
    </row>
    <row r="1439" spans="2:7" hidden="1" x14ac:dyDescent="0.35">
      <c r="B1439" t="s">
        <v>51</v>
      </c>
      <c r="C1439">
        <v>212</v>
      </c>
      <c r="D1439">
        <v>-24</v>
      </c>
      <c r="E1439">
        <v>2</v>
      </c>
      <c r="F1439" t="s">
        <v>898</v>
      </c>
      <c r="G1439" t="s">
        <v>901</v>
      </c>
    </row>
    <row r="1440" spans="2:7" hidden="1" x14ac:dyDescent="0.35">
      <c r="B1440" t="s">
        <v>53</v>
      </c>
      <c r="C1440">
        <v>33</v>
      </c>
      <c r="D1440">
        <v>-27</v>
      </c>
      <c r="E1440">
        <v>1</v>
      </c>
      <c r="F1440" t="s">
        <v>898</v>
      </c>
      <c r="G1440" t="s">
        <v>901</v>
      </c>
    </row>
    <row r="1441" spans="2:7" hidden="1" x14ac:dyDescent="0.35">
      <c r="B1441" t="s">
        <v>545</v>
      </c>
      <c r="C1441">
        <v>134</v>
      </c>
      <c r="D1441">
        <v>-34</v>
      </c>
      <c r="E1441">
        <v>2</v>
      </c>
      <c r="F1441" t="s">
        <v>898</v>
      </c>
      <c r="G1441" t="s">
        <v>901</v>
      </c>
    </row>
    <row r="1442" spans="2:7" hidden="1" x14ac:dyDescent="0.35">
      <c r="B1442" t="s">
        <v>550</v>
      </c>
      <c r="C1442">
        <v>58</v>
      </c>
      <c r="D1442">
        <v>-52</v>
      </c>
      <c r="E1442">
        <v>3</v>
      </c>
      <c r="F1442" t="s">
        <v>898</v>
      </c>
      <c r="G1442" t="s">
        <v>901</v>
      </c>
    </row>
    <row r="1443" spans="2:7" hidden="1" x14ac:dyDescent="0.35">
      <c r="B1443" t="s">
        <v>59</v>
      </c>
      <c r="C1443">
        <v>287</v>
      </c>
      <c r="D1443">
        <v>-280</v>
      </c>
      <c r="E1443">
        <v>12</v>
      </c>
      <c r="F1443" t="s">
        <v>898</v>
      </c>
      <c r="G1443" t="s">
        <v>901</v>
      </c>
    </row>
    <row r="1444" spans="2:7" hidden="1" x14ac:dyDescent="0.35">
      <c r="B1444" t="s">
        <v>560</v>
      </c>
      <c r="C1444">
        <v>248</v>
      </c>
      <c r="D1444">
        <v>-70</v>
      </c>
      <c r="E1444">
        <v>3</v>
      </c>
      <c r="F1444" t="s">
        <v>898</v>
      </c>
      <c r="G1444" t="s">
        <v>901</v>
      </c>
    </row>
    <row r="1445" spans="2:7" hidden="1" x14ac:dyDescent="0.35">
      <c r="B1445" t="s">
        <v>560</v>
      </c>
      <c r="C1445">
        <v>224</v>
      </c>
      <c r="D1445">
        <v>-143</v>
      </c>
      <c r="E1445">
        <v>3</v>
      </c>
      <c r="F1445" t="s">
        <v>898</v>
      </c>
      <c r="G1445" t="s">
        <v>901</v>
      </c>
    </row>
    <row r="1446" spans="2:7" hidden="1" x14ac:dyDescent="0.35">
      <c r="B1446" t="s">
        <v>283</v>
      </c>
      <c r="C1446">
        <v>335</v>
      </c>
      <c r="D1446">
        <v>-22</v>
      </c>
      <c r="E1446">
        <v>7</v>
      </c>
      <c r="F1446" t="s">
        <v>898</v>
      </c>
      <c r="G1446" t="s">
        <v>901</v>
      </c>
    </row>
    <row r="1447" spans="2:7" hidden="1" x14ac:dyDescent="0.35">
      <c r="B1447" t="s">
        <v>286</v>
      </c>
      <c r="C1447">
        <v>239</v>
      </c>
      <c r="D1447">
        <v>-162</v>
      </c>
      <c r="E1447">
        <v>5</v>
      </c>
      <c r="F1447" t="s">
        <v>898</v>
      </c>
      <c r="G1447" t="s">
        <v>901</v>
      </c>
    </row>
    <row r="1448" spans="2:7" hidden="1" x14ac:dyDescent="0.35">
      <c r="B1448" t="s">
        <v>69</v>
      </c>
      <c r="C1448">
        <v>413</v>
      </c>
      <c r="D1448">
        <v>-314</v>
      </c>
      <c r="E1448">
        <v>9</v>
      </c>
      <c r="F1448" t="s">
        <v>898</v>
      </c>
      <c r="G1448" t="s">
        <v>901</v>
      </c>
    </row>
    <row r="1449" spans="2:7" hidden="1" x14ac:dyDescent="0.35">
      <c r="B1449" t="s">
        <v>587</v>
      </c>
      <c r="C1449">
        <v>45</v>
      </c>
      <c r="D1449">
        <v>-15</v>
      </c>
      <c r="E1449">
        <v>2</v>
      </c>
      <c r="F1449" t="s">
        <v>898</v>
      </c>
      <c r="G1449" t="s">
        <v>901</v>
      </c>
    </row>
    <row r="1450" spans="2:7" hidden="1" x14ac:dyDescent="0.35">
      <c r="B1450" t="s">
        <v>71</v>
      </c>
      <c r="C1450">
        <v>511</v>
      </c>
      <c r="D1450">
        <v>194</v>
      </c>
      <c r="E1450">
        <v>3</v>
      </c>
      <c r="F1450" t="s">
        <v>898</v>
      </c>
      <c r="G1450" t="s">
        <v>901</v>
      </c>
    </row>
    <row r="1451" spans="2:7" hidden="1" x14ac:dyDescent="0.35">
      <c r="B1451" t="s">
        <v>290</v>
      </c>
      <c r="C1451">
        <v>112</v>
      </c>
      <c r="D1451">
        <v>15</v>
      </c>
      <c r="E1451">
        <v>2</v>
      </c>
      <c r="F1451" t="s">
        <v>898</v>
      </c>
      <c r="G1451" t="s">
        <v>901</v>
      </c>
    </row>
    <row r="1452" spans="2:7" hidden="1" x14ac:dyDescent="0.35">
      <c r="B1452" t="s">
        <v>294</v>
      </c>
      <c r="C1452">
        <v>911</v>
      </c>
      <c r="D1452">
        <v>202</v>
      </c>
      <c r="E1452">
        <v>7</v>
      </c>
      <c r="F1452" t="s">
        <v>898</v>
      </c>
      <c r="G1452" t="s">
        <v>901</v>
      </c>
    </row>
    <row r="1453" spans="2:7" hidden="1" x14ac:dyDescent="0.35">
      <c r="B1453" t="s">
        <v>602</v>
      </c>
      <c r="C1453">
        <v>119</v>
      </c>
      <c r="D1453">
        <v>1</v>
      </c>
      <c r="E1453">
        <v>1</v>
      </c>
      <c r="F1453" t="s">
        <v>898</v>
      </c>
      <c r="G1453" t="s">
        <v>901</v>
      </c>
    </row>
    <row r="1454" spans="2:7" hidden="1" x14ac:dyDescent="0.35">
      <c r="B1454" t="s">
        <v>85</v>
      </c>
      <c r="C1454">
        <v>156</v>
      </c>
      <c r="D1454">
        <v>21</v>
      </c>
      <c r="E1454">
        <v>3</v>
      </c>
      <c r="F1454" t="s">
        <v>898</v>
      </c>
      <c r="G1454" t="s">
        <v>901</v>
      </c>
    </row>
    <row r="1455" spans="2:7" hidden="1" x14ac:dyDescent="0.35">
      <c r="B1455" t="s">
        <v>636</v>
      </c>
      <c r="C1455">
        <v>2093</v>
      </c>
      <c r="D1455">
        <v>721</v>
      </c>
      <c r="E1455">
        <v>5</v>
      </c>
      <c r="F1455" t="s">
        <v>898</v>
      </c>
      <c r="G1455" t="s">
        <v>901</v>
      </c>
    </row>
    <row r="1456" spans="2:7" hidden="1" x14ac:dyDescent="0.35">
      <c r="B1456" t="s">
        <v>664</v>
      </c>
      <c r="C1456">
        <v>269</v>
      </c>
      <c r="D1456">
        <v>33</v>
      </c>
      <c r="E1456">
        <v>5</v>
      </c>
      <c r="F1456" t="s">
        <v>898</v>
      </c>
      <c r="G1456" t="s">
        <v>901</v>
      </c>
    </row>
    <row r="1457" spans="2:7" hidden="1" x14ac:dyDescent="0.35">
      <c r="B1457" t="s">
        <v>315</v>
      </c>
      <c r="C1457">
        <v>719</v>
      </c>
      <c r="D1457">
        <v>303</v>
      </c>
      <c r="E1457">
        <v>6</v>
      </c>
      <c r="F1457" t="s">
        <v>898</v>
      </c>
      <c r="G1457" t="s">
        <v>901</v>
      </c>
    </row>
    <row r="1458" spans="2:7" hidden="1" x14ac:dyDescent="0.35">
      <c r="B1458" t="s">
        <v>668</v>
      </c>
      <c r="C1458">
        <v>2115</v>
      </c>
      <c r="D1458">
        <v>23</v>
      </c>
      <c r="E1458">
        <v>5</v>
      </c>
      <c r="F1458" t="s">
        <v>898</v>
      </c>
      <c r="G1458" t="s">
        <v>901</v>
      </c>
    </row>
    <row r="1459" spans="2:7" hidden="1" x14ac:dyDescent="0.35">
      <c r="B1459" t="s">
        <v>102</v>
      </c>
      <c r="C1459">
        <v>734</v>
      </c>
      <c r="D1459">
        <v>248</v>
      </c>
      <c r="E1459">
        <v>2</v>
      </c>
      <c r="F1459" t="s">
        <v>898</v>
      </c>
      <c r="G1459" t="s">
        <v>901</v>
      </c>
    </row>
    <row r="1460" spans="2:7" hidden="1" x14ac:dyDescent="0.35">
      <c r="B1460" t="s">
        <v>687</v>
      </c>
      <c r="C1460">
        <v>846</v>
      </c>
      <c r="D1460">
        <v>9</v>
      </c>
      <c r="E1460">
        <v>2</v>
      </c>
      <c r="F1460" t="s">
        <v>898</v>
      </c>
      <c r="G1460" t="s">
        <v>901</v>
      </c>
    </row>
    <row r="1461" spans="2:7" hidden="1" x14ac:dyDescent="0.35">
      <c r="B1461" t="s">
        <v>692</v>
      </c>
      <c r="C1461">
        <v>83</v>
      </c>
      <c r="D1461">
        <v>12</v>
      </c>
      <c r="E1461">
        <v>2</v>
      </c>
      <c r="F1461" t="s">
        <v>898</v>
      </c>
      <c r="G1461" t="s">
        <v>901</v>
      </c>
    </row>
    <row r="1462" spans="2:7" hidden="1" x14ac:dyDescent="0.35">
      <c r="B1462" t="s">
        <v>701</v>
      </c>
      <c r="C1462">
        <v>460</v>
      </c>
      <c r="D1462">
        <v>143</v>
      </c>
      <c r="E1462">
        <v>3</v>
      </c>
      <c r="F1462" t="s">
        <v>898</v>
      </c>
      <c r="G1462" t="s">
        <v>901</v>
      </c>
    </row>
    <row r="1463" spans="2:7" hidden="1" x14ac:dyDescent="0.35">
      <c r="B1463" t="s">
        <v>715</v>
      </c>
      <c r="C1463">
        <v>148</v>
      </c>
      <c r="D1463">
        <v>54</v>
      </c>
      <c r="E1463">
        <v>2</v>
      </c>
      <c r="F1463" t="s">
        <v>898</v>
      </c>
      <c r="G1463" t="s">
        <v>901</v>
      </c>
    </row>
    <row r="1464" spans="2:7" hidden="1" x14ac:dyDescent="0.35">
      <c r="B1464" t="s">
        <v>329</v>
      </c>
      <c r="C1464">
        <v>1228</v>
      </c>
      <c r="D1464">
        <v>14</v>
      </c>
      <c r="E1464">
        <v>3</v>
      </c>
      <c r="F1464" t="s">
        <v>898</v>
      </c>
      <c r="G1464" t="s">
        <v>901</v>
      </c>
    </row>
    <row r="1465" spans="2:7" hidden="1" x14ac:dyDescent="0.35">
      <c r="B1465" t="s">
        <v>720</v>
      </c>
      <c r="C1465">
        <v>216</v>
      </c>
      <c r="D1465">
        <v>-135</v>
      </c>
      <c r="E1465">
        <v>3</v>
      </c>
      <c r="F1465" t="s">
        <v>898</v>
      </c>
      <c r="G1465" t="s">
        <v>901</v>
      </c>
    </row>
    <row r="1466" spans="2:7" hidden="1" x14ac:dyDescent="0.35">
      <c r="B1466" t="s">
        <v>720</v>
      </c>
      <c r="C1466">
        <v>154</v>
      </c>
      <c r="D1466">
        <v>-85</v>
      </c>
      <c r="E1466">
        <v>3</v>
      </c>
      <c r="F1466" t="s">
        <v>898</v>
      </c>
      <c r="G1466" t="s">
        <v>901</v>
      </c>
    </row>
    <row r="1467" spans="2:7" hidden="1" x14ac:dyDescent="0.35">
      <c r="B1467" t="s">
        <v>330</v>
      </c>
      <c r="C1467">
        <v>73</v>
      </c>
      <c r="D1467">
        <v>-36</v>
      </c>
      <c r="E1467">
        <v>3</v>
      </c>
      <c r="F1467" t="s">
        <v>898</v>
      </c>
      <c r="G1467" t="s">
        <v>901</v>
      </c>
    </row>
    <row r="1468" spans="2:7" hidden="1" x14ac:dyDescent="0.35">
      <c r="B1468" t="s">
        <v>724</v>
      </c>
      <c r="C1468">
        <v>162</v>
      </c>
      <c r="D1468">
        <v>20</v>
      </c>
      <c r="E1468">
        <v>3</v>
      </c>
      <c r="F1468" t="s">
        <v>898</v>
      </c>
      <c r="G1468" t="s">
        <v>901</v>
      </c>
    </row>
    <row r="1469" spans="2:7" hidden="1" x14ac:dyDescent="0.35">
      <c r="B1469" t="s">
        <v>724</v>
      </c>
      <c r="C1469">
        <v>1657</v>
      </c>
      <c r="D1469">
        <v>460</v>
      </c>
      <c r="E1469">
        <v>4</v>
      </c>
      <c r="F1469" t="s">
        <v>898</v>
      </c>
      <c r="G1469" t="s">
        <v>901</v>
      </c>
    </row>
    <row r="1470" spans="2:7" hidden="1" x14ac:dyDescent="0.35">
      <c r="B1470" t="s">
        <v>122</v>
      </c>
      <c r="C1470">
        <v>173</v>
      </c>
      <c r="D1470">
        <v>69</v>
      </c>
      <c r="E1470">
        <v>3</v>
      </c>
      <c r="F1470" t="s">
        <v>898</v>
      </c>
      <c r="G1470" t="s">
        <v>901</v>
      </c>
    </row>
    <row r="1471" spans="2:7" hidden="1" x14ac:dyDescent="0.35">
      <c r="B1471" t="s">
        <v>126</v>
      </c>
      <c r="C1471">
        <v>681</v>
      </c>
      <c r="D1471">
        <v>259</v>
      </c>
      <c r="E1471">
        <v>4</v>
      </c>
      <c r="F1471" t="s">
        <v>898</v>
      </c>
      <c r="G1471" t="s">
        <v>901</v>
      </c>
    </row>
    <row r="1472" spans="2:7" hidden="1" x14ac:dyDescent="0.35">
      <c r="B1472" t="s">
        <v>126</v>
      </c>
      <c r="C1472">
        <v>429</v>
      </c>
      <c r="D1472">
        <v>17</v>
      </c>
      <c r="E1472">
        <v>3</v>
      </c>
      <c r="F1472" t="s">
        <v>898</v>
      </c>
      <c r="G1472" t="s">
        <v>901</v>
      </c>
    </row>
    <row r="1473" spans="2:7" hidden="1" x14ac:dyDescent="0.35">
      <c r="B1473" t="s">
        <v>128</v>
      </c>
      <c r="C1473">
        <v>346</v>
      </c>
      <c r="D1473">
        <v>108</v>
      </c>
      <c r="E1473">
        <v>3</v>
      </c>
      <c r="F1473" t="s">
        <v>898</v>
      </c>
      <c r="G1473" t="s">
        <v>901</v>
      </c>
    </row>
    <row r="1474" spans="2:7" hidden="1" x14ac:dyDescent="0.35">
      <c r="B1474" t="s">
        <v>774</v>
      </c>
      <c r="C1474">
        <v>32</v>
      </c>
      <c r="D1474">
        <v>-12</v>
      </c>
      <c r="E1474">
        <v>1</v>
      </c>
      <c r="F1474" t="s">
        <v>898</v>
      </c>
      <c r="G1474" t="s">
        <v>901</v>
      </c>
    </row>
    <row r="1475" spans="2:7" hidden="1" x14ac:dyDescent="0.35">
      <c r="B1475" t="s">
        <v>135</v>
      </c>
      <c r="C1475">
        <v>90</v>
      </c>
      <c r="D1475">
        <v>30</v>
      </c>
      <c r="E1475">
        <v>2</v>
      </c>
      <c r="F1475" t="s">
        <v>898</v>
      </c>
      <c r="G1475" t="s">
        <v>901</v>
      </c>
    </row>
    <row r="1476" spans="2:7" hidden="1" x14ac:dyDescent="0.35">
      <c r="B1476" t="s">
        <v>798</v>
      </c>
      <c r="C1476">
        <v>597</v>
      </c>
      <c r="D1476">
        <v>93</v>
      </c>
      <c r="E1476">
        <v>4</v>
      </c>
      <c r="F1476" t="s">
        <v>898</v>
      </c>
      <c r="G1476" t="s">
        <v>901</v>
      </c>
    </row>
    <row r="1477" spans="2:7" hidden="1" x14ac:dyDescent="0.35">
      <c r="B1477" t="s">
        <v>183</v>
      </c>
      <c r="C1477">
        <v>315</v>
      </c>
      <c r="D1477">
        <v>-8</v>
      </c>
      <c r="E1477">
        <v>3</v>
      </c>
      <c r="F1477" t="s">
        <v>898</v>
      </c>
      <c r="G1477" t="s">
        <v>901</v>
      </c>
    </row>
    <row r="1478" spans="2:7" hidden="1" x14ac:dyDescent="0.35">
      <c r="B1478" t="s">
        <v>815</v>
      </c>
      <c r="C1478">
        <v>406</v>
      </c>
      <c r="D1478">
        <v>97</v>
      </c>
      <c r="E1478">
        <v>7</v>
      </c>
      <c r="F1478" t="s">
        <v>898</v>
      </c>
      <c r="G1478" t="s">
        <v>901</v>
      </c>
    </row>
    <row r="1479" spans="2:7" hidden="1" x14ac:dyDescent="0.35">
      <c r="B1479" t="s">
        <v>815</v>
      </c>
      <c r="C1479">
        <v>278</v>
      </c>
      <c r="D1479">
        <v>39</v>
      </c>
      <c r="E1479">
        <v>5</v>
      </c>
      <c r="F1479" t="s">
        <v>898</v>
      </c>
      <c r="G1479" t="s">
        <v>901</v>
      </c>
    </row>
    <row r="1480" spans="2:7" hidden="1" x14ac:dyDescent="0.35">
      <c r="B1480" t="s">
        <v>818</v>
      </c>
      <c r="C1480">
        <v>78</v>
      </c>
      <c r="D1480">
        <v>7</v>
      </c>
      <c r="E1480">
        <v>1</v>
      </c>
      <c r="F1480" t="s">
        <v>898</v>
      </c>
      <c r="G1480" t="s">
        <v>901</v>
      </c>
    </row>
    <row r="1481" spans="2:7" hidden="1" x14ac:dyDescent="0.35">
      <c r="B1481" t="s">
        <v>224</v>
      </c>
      <c r="C1481">
        <v>401</v>
      </c>
      <c r="D1481">
        <v>13</v>
      </c>
      <c r="E1481">
        <v>6</v>
      </c>
      <c r="F1481" t="s">
        <v>898</v>
      </c>
      <c r="G1481" t="s">
        <v>901</v>
      </c>
    </row>
    <row r="1482" spans="2:7" hidden="1" x14ac:dyDescent="0.35">
      <c r="B1482" t="s">
        <v>846</v>
      </c>
      <c r="C1482">
        <v>120</v>
      </c>
      <c r="D1482">
        <v>1</v>
      </c>
      <c r="E1482">
        <v>1</v>
      </c>
      <c r="F1482" t="s">
        <v>898</v>
      </c>
      <c r="G1482" t="s">
        <v>901</v>
      </c>
    </row>
    <row r="1483" spans="2:7" hidden="1" x14ac:dyDescent="0.35">
      <c r="B1483" t="s">
        <v>141</v>
      </c>
      <c r="C1483">
        <v>5729</v>
      </c>
      <c r="D1483">
        <v>64</v>
      </c>
      <c r="E1483">
        <v>14</v>
      </c>
      <c r="F1483" t="s">
        <v>898</v>
      </c>
      <c r="G1483" t="s">
        <v>901</v>
      </c>
    </row>
    <row r="1484" spans="2:7" hidden="1" x14ac:dyDescent="0.35">
      <c r="B1484" t="s">
        <v>876</v>
      </c>
      <c r="C1484">
        <v>185</v>
      </c>
      <c r="D1484">
        <v>-26</v>
      </c>
      <c r="E1484">
        <v>6</v>
      </c>
      <c r="F1484" t="s">
        <v>898</v>
      </c>
      <c r="G1484" t="s">
        <v>901</v>
      </c>
    </row>
    <row r="1485" spans="2:7" hidden="1" x14ac:dyDescent="0.35">
      <c r="B1485" t="s">
        <v>877</v>
      </c>
      <c r="C1485">
        <v>497</v>
      </c>
      <c r="D1485">
        <v>179</v>
      </c>
      <c r="E1485">
        <v>3</v>
      </c>
      <c r="F1485" t="s">
        <v>898</v>
      </c>
      <c r="G1485" t="s">
        <v>901</v>
      </c>
    </row>
    <row r="1486" spans="2:7" hidden="1" x14ac:dyDescent="0.35">
      <c r="B1486" t="s">
        <v>145</v>
      </c>
      <c r="C1486">
        <v>828</v>
      </c>
      <c r="D1486">
        <v>230</v>
      </c>
      <c r="E1486">
        <v>2</v>
      </c>
      <c r="F1486" t="s">
        <v>898</v>
      </c>
      <c r="G1486" t="s">
        <v>901</v>
      </c>
    </row>
    <row r="1487" spans="2:7" hidden="1" x14ac:dyDescent="0.35">
      <c r="B1487" t="s">
        <v>371</v>
      </c>
      <c r="C1487">
        <v>1364</v>
      </c>
      <c r="D1487">
        <v>-1864</v>
      </c>
      <c r="E1487">
        <v>5</v>
      </c>
      <c r="F1487" t="s">
        <v>898</v>
      </c>
      <c r="G1487" t="s">
        <v>902</v>
      </c>
    </row>
    <row r="1488" spans="2:7" hidden="1" x14ac:dyDescent="0.35">
      <c r="B1488" t="s">
        <v>472</v>
      </c>
      <c r="C1488">
        <v>610</v>
      </c>
      <c r="D1488">
        <v>-66</v>
      </c>
      <c r="E1488">
        <v>2</v>
      </c>
      <c r="F1488" t="s">
        <v>898</v>
      </c>
      <c r="G1488" t="s">
        <v>902</v>
      </c>
    </row>
    <row r="1489" spans="2:7" hidden="1" x14ac:dyDescent="0.35">
      <c r="B1489" t="s">
        <v>481</v>
      </c>
      <c r="C1489">
        <v>674</v>
      </c>
      <c r="D1489">
        <v>-187</v>
      </c>
      <c r="E1489">
        <v>2</v>
      </c>
      <c r="F1489" t="s">
        <v>898</v>
      </c>
      <c r="G1489" t="s">
        <v>902</v>
      </c>
    </row>
    <row r="1490" spans="2:7" hidden="1" x14ac:dyDescent="0.35">
      <c r="B1490" t="s">
        <v>489</v>
      </c>
      <c r="C1490">
        <v>1829</v>
      </c>
      <c r="D1490">
        <v>-56</v>
      </c>
      <c r="E1490">
        <v>6</v>
      </c>
      <c r="F1490" t="s">
        <v>898</v>
      </c>
      <c r="G1490" t="s">
        <v>902</v>
      </c>
    </row>
    <row r="1491" spans="2:7" hidden="1" x14ac:dyDescent="0.35">
      <c r="B1491" t="s">
        <v>253</v>
      </c>
      <c r="C1491">
        <v>941</v>
      </c>
      <c r="D1491">
        <v>-203</v>
      </c>
      <c r="E1491">
        <v>3</v>
      </c>
      <c r="F1491" t="s">
        <v>898</v>
      </c>
      <c r="G1491" t="s">
        <v>902</v>
      </c>
    </row>
    <row r="1492" spans="2:7" hidden="1" x14ac:dyDescent="0.35">
      <c r="B1492" t="s">
        <v>63</v>
      </c>
      <c r="C1492">
        <v>1361</v>
      </c>
      <c r="D1492">
        <v>-980</v>
      </c>
      <c r="E1492">
        <v>3</v>
      </c>
      <c r="F1492" t="s">
        <v>898</v>
      </c>
      <c r="G1492" t="s">
        <v>902</v>
      </c>
    </row>
    <row r="1493" spans="2:7" hidden="1" x14ac:dyDescent="0.35">
      <c r="B1493" t="s">
        <v>572</v>
      </c>
      <c r="C1493">
        <v>623</v>
      </c>
      <c r="D1493">
        <v>-192</v>
      </c>
      <c r="E1493">
        <v>3</v>
      </c>
      <c r="F1493" t="s">
        <v>898</v>
      </c>
      <c r="G1493" t="s">
        <v>902</v>
      </c>
    </row>
    <row r="1494" spans="2:7" hidden="1" x14ac:dyDescent="0.35">
      <c r="B1494" t="s">
        <v>69</v>
      </c>
      <c r="C1494">
        <v>1630</v>
      </c>
      <c r="D1494">
        <v>-802</v>
      </c>
      <c r="E1494">
        <v>5</v>
      </c>
      <c r="F1494" t="s">
        <v>898</v>
      </c>
      <c r="G1494" t="s">
        <v>902</v>
      </c>
    </row>
    <row r="1495" spans="2:7" hidden="1" x14ac:dyDescent="0.35">
      <c r="B1495" t="s">
        <v>73</v>
      </c>
      <c r="C1495">
        <v>632</v>
      </c>
      <c r="D1495">
        <v>-114</v>
      </c>
      <c r="E1495">
        <v>4</v>
      </c>
      <c r="F1495" t="s">
        <v>898</v>
      </c>
      <c r="G1495" t="s">
        <v>902</v>
      </c>
    </row>
    <row r="1496" spans="2:7" hidden="1" x14ac:dyDescent="0.35">
      <c r="B1496" t="s">
        <v>634</v>
      </c>
      <c r="C1496">
        <v>869</v>
      </c>
      <c r="D1496">
        <v>67</v>
      </c>
      <c r="E1496">
        <v>4</v>
      </c>
      <c r="F1496" t="s">
        <v>898</v>
      </c>
      <c r="G1496" t="s">
        <v>902</v>
      </c>
    </row>
    <row r="1497" spans="2:7" hidden="1" x14ac:dyDescent="0.35">
      <c r="B1497" t="s">
        <v>648</v>
      </c>
      <c r="C1497">
        <v>1118</v>
      </c>
      <c r="D1497">
        <v>206</v>
      </c>
      <c r="E1497">
        <v>2</v>
      </c>
      <c r="F1497" t="s">
        <v>898</v>
      </c>
      <c r="G1497" t="s">
        <v>902</v>
      </c>
    </row>
    <row r="1498" spans="2:7" hidden="1" x14ac:dyDescent="0.35">
      <c r="B1498" t="s">
        <v>686</v>
      </c>
      <c r="C1498">
        <v>915</v>
      </c>
      <c r="D1498">
        <v>-99</v>
      </c>
      <c r="E1498">
        <v>3</v>
      </c>
      <c r="F1498" t="s">
        <v>898</v>
      </c>
      <c r="G1498" t="s">
        <v>902</v>
      </c>
    </row>
    <row r="1499" spans="2:7" hidden="1" x14ac:dyDescent="0.35">
      <c r="B1499" t="s">
        <v>686</v>
      </c>
      <c r="C1499">
        <v>857</v>
      </c>
      <c r="D1499">
        <v>274</v>
      </c>
      <c r="E1499">
        <v>2</v>
      </c>
      <c r="F1499" t="s">
        <v>898</v>
      </c>
      <c r="G1499" t="s">
        <v>902</v>
      </c>
    </row>
    <row r="1500" spans="2:7" hidden="1" x14ac:dyDescent="0.35">
      <c r="B1500" t="s">
        <v>697</v>
      </c>
      <c r="C1500">
        <v>1622</v>
      </c>
      <c r="D1500">
        <v>-624</v>
      </c>
      <c r="E1500">
        <v>5</v>
      </c>
      <c r="F1500" t="s">
        <v>898</v>
      </c>
      <c r="G1500" t="s">
        <v>902</v>
      </c>
    </row>
    <row r="1501" spans="2:7" hidden="1" x14ac:dyDescent="0.35">
      <c r="B1501" t="s">
        <v>786</v>
      </c>
      <c r="C1501">
        <v>4363</v>
      </c>
      <c r="D1501">
        <v>305</v>
      </c>
      <c r="E1501">
        <v>5</v>
      </c>
      <c r="F1501" t="s">
        <v>898</v>
      </c>
      <c r="G1501" t="s">
        <v>902</v>
      </c>
    </row>
    <row r="1502" spans="2:7" hidden="1" x14ac:dyDescent="0.35">
      <c r="B1502" t="s">
        <v>183</v>
      </c>
      <c r="C1502">
        <v>1745</v>
      </c>
      <c r="D1502">
        <v>122</v>
      </c>
      <c r="E1502">
        <v>2</v>
      </c>
      <c r="F1502" t="s">
        <v>898</v>
      </c>
      <c r="G1502" t="s">
        <v>902</v>
      </c>
    </row>
    <row r="1503" spans="2:7" hidden="1" x14ac:dyDescent="0.35">
      <c r="B1503" t="s">
        <v>224</v>
      </c>
      <c r="C1503">
        <v>1461</v>
      </c>
      <c r="D1503">
        <v>202</v>
      </c>
      <c r="E1503">
        <v>5</v>
      </c>
      <c r="F1503" t="s">
        <v>898</v>
      </c>
      <c r="G1503" t="s">
        <v>902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2A935-73E4-4D7F-ABC5-A05EA18E842A}">
  <dimension ref="A3:M151"/>
  <sheetViews>
    <sheetView zoomScale="75" workbookViewId="0">
      <selection activeCell="E33" sqref="E33"/>
    </sheetView>
  </sheetViews>
  <sheetFormatPr defaultRowHeight="14.5" x14ac:dyDescent="0.35"/>
  <cols>
    <col min="1" max="1" width="18.08203125" bestFit="1" customWidth="1"/>
    <col min="2" max="2" width="14" bestFit="1" customWidth="1"/>
    <col min="3" max="3" width="13.1640625" bestFit="1" customWidth="1"/>
    <col min="4" max="4" width="12.4140625" customWidth="1"/>
    <col min="5" max="5" width="10.33203125" bestFit="1" customWidth="1"/>
    <col min="6" max="6" width="10.4140625" bestFit="1" customWidth="1"/>
    <col min="7" max="7" width="13.1640625" bestFit="1" customWidth="1"/>
    <col min="8" max="8" width="14" bestFit="1" customWidth="1"/>
    <col min="9" max="9" width="11.5" bestFit="1" customWidth="1"/>
    <col min="10" max="10" width="18.33203125" bestFit="1" customWidth="1"/>
    <col min="11" max="11" width="24.1640625" bestFit="1" customWidth="1"/>
    <col min="12" max="12" width="11.33203125" bestFit="1" customWidth="1"/>
    <col min="13" max="13" width="12" bestFit="1" customWidth="1"/>
  </cols>
  <sheetData>
    <row r="3" spans="1:13" x14ac:dyDescent="0.35">
      <c r="A3" t="s">
        <v>903</v>
      </c>
      <c r="B3" t="s">
        <v>904</v>
      </c>
      <c r="C3" t="s">
        <v>905</v>
      </c>
      <c r="D3" t="s">
        <v>906</v>
      </c>
      <c r="E3" t="s">
        <v>907</v>
      </c>
      <c r="F3" t="s">
        <v>908</v>
      </c>
      <c r="G3" t="s">
        <v>909</v>
      </c>
      <c r="H3" t="s">
        <v>949</v>
      </c>
      <c r="I3" t="s">
        <v>950</v>
      </c>
    </row>
    <row r="4" spans="1:13" x14ac:dyDescent="0.35">
      <c r="A4" s="2">
        <v>431502</v>
      </c>
      <c r="B4" s="2">
        <v>23955</v>
      </c>
      <c r="C4" s="4">
        <v>5615</v>
      </c>
      <c r="D4" s="5">
        <v>5.5515385791954613E-2</v>
      </c>
      <c r="E4" s="4">
        <v>500</v>
      </c>
      <c r="F4" s="6">
        <v>863.00400000000002</v>
      </c>
      <c r="G4" s="6">
        <v>11.23</v>
      </c>
      <c r="H4" s="4">
        <v>164</v>
      </c>
      <c r="I4" s="4">
        <v>336</v>
      </c>
    </row>
    <row r="7" spans="1:13" x14ac:dyDescent="0.35">
      <c r="A7" s="3" t="s">
        <v>903</v>
      </c>
      <c r="B7" s="3" t="s">
        <v>904</v>
      </c>
      <c r="C7" s="3" t="s">
        <v>905</v>
      </c>
      <c r="D7" s="3" t="s">
        <v>906</v>
      </c>
      <c r="E7" s="3" t="s">
        <v>907</v>
      </c>
      <c r="F7" s="3" t="s">
        <v>908</v>
      </c>
      <c r="G7" s="3" t="s">
        <v>909</v>
      </c>
      <c r="H7" s="3"/>
      <c r="I7" s="3"/>
    </row>
    <row r="8" spans="1:13" x14ac:dyDescent="0.35">
      <c r="A8" s="8">
        <v>431502</v>
      </c>
      <c r="B8" s="8">
        <v>23955</v>
      </c>
      <c r="C8" s="9">
        <v>5615</v>
      </c>
      <c r="D8" s="10">
        <v>5.5515385791954613E-2</v>
      </c>
      <c r="E8" s="12">
        <v>500</v>
      </c>
      <c r="F8" s="13">
        <v>863.00400000000002</v>
      </c>
      <c r="G8" s="11">
        <v>11.23</v>
      </c>
      <c r="H8" s="12"/>
      <c r="I8" s="10"/>
    </row>
    <row r="11" spans="1:13" x14ac:dyDescent="0.35">
      <c r="A11" s="7" t="s">
        <v>910</v>
      </c>
      <c r="B11" s="8" t="s">
        <v>903</v>
      </c>
      <c r="C11" t="s">
        <v>905</v>
      </c>
      <c r="E11" t="s">
        <v>903</v>
      </c>
      <c r="F11" t="s">
        <v>904</v>
      </c>
      <c r="G11" t="s">
        <v>905</v>
      </c>
      <c r="H11" t="s">
        <v>906</v>
      </c>
      <c r="I11" t="s">
        <v>907</v>
      </c>
      <c r="J11" t="s">
        <v>908</v>
      </c>
      <c r="K11" t="s">
        <v>909</v>
      </c>
      <c r="L11" t="s">
        <v>949</v>
      </c>
      <c r="M11" t="s">
        <v>950</v>
      </c>
    </row>
    <row r="12" spans="1:13" x14ac:dyDescent="0.35">
      <c r="A12" s="14" t="s">
        <v>930</v>
      </c>
      <c r="B12" s="8">
        <v>61439</v>
      </c>
      <c r="C12" s="4">
        <v>745</v>
      </c>
      <c r="E12" s="8">
        <v>431502</v>
      </c>
      <c r="F12" s="2">
        <v>23955</v>
      </c>
      <c r="G12" s="4">
        <v>5615</v>
      </c>
      <c r="H12" s="5">
        <v>5.5515385791954613E-2</v>
      </c>
      <c r="I12" s="4">
        <v>500</v>
      </c>
      <c r="J12" s="16">
        <v>863.00400000000002</v>
      </c>
      <c r="K12" s="6">
        <v>11.23</v>
      </c>
      <c r="L12" s="4">
        <v>164</v>
      </c>
      <c r="M12" s="4">
        <v>336</v>
      </c>
    </row>
    <row r="13" spans="1:13" x14ac:dyDescent="0.35">
      <c r="A13" s="14" t="s">
        <v>931</v>
      </c>
      <c r="B13" s="8">
        <v>38424</v>
      </c>
      <c r="C13" s="4">
        <v>512</v>
      </c>
    </row>
    <row r="14" spans="1:13" x14ac:dyDescent="0.35">
      <c r="A14" s="14" t="s">
        <v>932</v>
      </c>
      <c r="B14" s="8">
        <v>58937</v>
      </c>
      <c r="C14" s="4">
        <v>751</v>
      </c>
      <c r="E14" t="s">
        <v>910</v>
      </c>
      <c r="F14" t="s">
        <v>903</v>
      </c>
      <c r="H14" t="s">
        <v>910</v>
      </c>
      <c r="I14" t="s">
        <v>905</v>
      </c>
    </row>
    <row r="15" spans="1:13" x14ac:dyDescent="0.35">
      <c r="A15" s="14" t="s">
        <v>917</v>
      </c>
      <c r="B15" s="8">
        <v>32726</v>
      </c>
      <c r="C15" s="4">
        <v>389</v>
      </c>
      <c r="E15" t="s">
        <v>930</v>
      </c>
      <c r="F15" s="8">
        <v>61439</v>
      </c>
      <c r="H15" t="s">
        <v>930</v>
      </c>
      <c r="I15">
        <v>745</v>
      </c>
    </row>
    <row r="16" spans="1:13" x14ac:dyDescent="0.35">
      <c r="A16" s="14" t="s">
        <v>918</v>
      </c>
      <c r="B16" s="8">
        <v>28545</v>
      </c>
      <c r="C16" s="4">
        <v>423</v>
      </c>
      <c r="E16" t="s">
        <v>931</v>
      </c>
      <c r="F16" s="8">
        <v>38424</v>
      </c>
      <c r="H16" t="s">
        <v>931</v>
      </c>
      <c r="I16">
        <v>512</v>
      </c>
    </row>
    <row r="17" spans="1:9" x14ac:dyDescent="0.35">
      <c r="A17" s="14" t="s">
        <v>919</v>
      </c>
      <c r="B17" s="8">
        <v>23658</v>
      </c>
      <c r="C17" s="4">
        <v>369</v>
      </c>
      <c r="E17" t="s">
        <v>932</v>
      </c>
      <c r="F17" s="8">
        <v>58937</v>
      </c>
      <c r="H17" t="s">
        <v>932</v>
      </c>
      <c r="I17">
        <v>751</v>
      </c>
    </row>
    <row r="18" spans="1:9" x14ac:dyDescent="0.35">
      <c r="A18" s="14" t="s">
        <v>921</v>
      </c>
      <c r="B18" s="8">
        <v>12966</v>
      </c>
      <c r="C18" s="4">
        <v>240</v>
      </c>
      <c r="E18" t="s">
        <v>917</v>
      </c>
      <c r="F18" s="8">
        <v>32726</v>
      </c>
      <c r="H18" t="s">
        <v>917</v>
      </c>
      <c r="I18">
        <v>389</v>
      </c>
    </row>
    <row r="19" spans="1:9" x14ac:dyDescent="0.35">
      <c r="A19" s="14" t="s">
        <v>922</v>
      </c>
      <c r="B19" s="8">
        <v>30899</v>
      </c>
      <c r="C19" s="4">
        <v>446</v>
      </c>
      <c r="E19" t="s">
        <v>918</v>
      </c>
      <c r="F19" s="8">
        <v>28545</v>
      </c>
      <c r="H19" t="s">
        <v>918</v>
      </c>
      <c r="I19">
        <v>423</v>
      </c>
    </row>
    <row r="20" spans="1:9" x14ac:dyDescent="0.35">
      <c r="A20" s="14" t="s">
        <v>923</v>
      </c>
      <c r="B20" s="8">
        <v>26628</v>
      </c>
      <c r="C20" s="4">
        <v>331</v>
      </c>
      <c r="E20" t="s">
        <v>919</v>
      </c>
      <c r="F20" s="8">
        <v>23658</v>
      </c>
      <c r="H20" t="s">
        <v>919</v>
      </c>
      <c r="I20">
        <v>369</v>
      </c>
    </row>
    <row r="21" spans="1:9" x14ac:dyDescent="0.35">
      <c r="A21" s="14" t="s">
        <v>925</v>
      </c>
      <c r="B21" s="8">
        <v>31615</v>
      </c>
      <c r="C21" s="4">
        <v>419</v>
      </c>
      <c r="E21" t="s">
        <v>921</v>
      </c>
      <c r="F21" s="8">
        <v>12966</v>
      </c>
      <c r="H21" t="s">
        <v>921</v>
      </c>
      <c r="I21">
        <v>240</v>
      </c>
    </row>
    <row r="22" spans="1:9" x14ac:dyDescent="0.35">
      <c r="A22" s="14" t="s">
        <v>926</v>
      </c>
      <c r="B22" s="8">
        <v>48086</v>
      </c>
      <c r="C22" s="4">
        <v>578</v>
      </c>
      <c r="E22" t="s">
        <v>922</v>
      </c>
      <c r="F22" s="8">
        <v>30899</v>
      </c>
      <c r="H22" t="s">
        <v>922</v>
      </c>
      <c r="I22">
        <v>446</v>
      </c>
    </row>
    <row r="23" spans="1:9" x14ac:dyDescent="0.35">
      <c r="A23" s="14" t="s">
        <v>927</v>
      </c>
      <c r="B23" s="8">
        <v>37579</v>
      </c>
      <c r="C23" s="4">
        <v>412</v>
      </c>
      <c r="E23" t="s">
        <v>923</v>
      </c>
      <c r="F23" s="8">
        <v>26628</v>
      </c>
      <c r="H23" t="s">
        <v>923</v>
      </c>
      <c r="I23">
        <v>331</v>
      </c>
    </row>
    <row r="24" spans="1:9" x14ac:dyDescent="0.35">
      <c r="E24" t="s">
        <v>925</v>
      </c>
      <c r="F24" s="8">
        <v>31615</v>
      </c>
      <c r="H24" t="s">
        <v>925</v>
      </c>
      <c r="I24">
        <v>419</v>
      </c>
    </row>
    <row r="25" spans="1:9" x14ac:dyDescent="0.35">
      <c r="E25" t="s">
        <v>926</v>
      </c>
      <c r="F25" s="8">
        <v>48086</v>
      </c>
      <c r="H25" t="s">
        <v>926</v>
      </c>
      <c r="I25">
        <v>578</v>
      </c>
    </row>
    <row r="26" spans="1:9" x14ac:dyDescent="0.35">
      <c r="E26" t="s">
        <v>927</v>
      </c>
      <c r="F26" s="8">
        <v>37579</v>
      </c>
      <c r="H26" t="s">
        <v>927</v>
      </c>
      <c r="I26">
        <v>412</v>
      </c>
    </row>
    <row r="27" spans="1:9" x14ac:dyDescent="0.35">
      <c r="A27" s="7" t="s">
        <v>910</v>
      </c>
      <c r="B27" t="s">
        <v>933</v>
      </c>
    </row>
    <row r="28" spans="1:9" x14ac:dyDescent="0.35">
      <c r="A28" s="14" t="s">
        <v>947</v>
      </c>
      <c r="B28" s="15">
        <v>0.32800000000000001</v>
      </c>
    </row>
    <row r="29" spans="1:9" x14ac:dyDescent="0.35">
      <c r="A29" s="14" t="s">
        <v>879</v>
      </c>
      <c r="B29" s="15">
        <v>0.67200000000000004</v>
      </c>
    </row>
    <row r="32" spans="1:9" x14ac:dyDescent="0.35">
      <c r="A32" s="7" t="s">
        <v>910</v>
      </c>
      <c r="B32" t="s">
        <v>948</v>
      </c>
      <c r="D32" s="3" t="s">
        <v>910</v>
      </c>
      <c r="E32" t="s">
        <v>952</v>
      </c>
      <c r="G32" t="s">
        <v>910</v>
      </c>
      <c r="H32" t="s">
        <v>906</v>
      </c>
    </row>
    <row r="33" spans="1:9" x14ac:dyDescent="0.35">
      <c r="A33" s="14" t="s">
        <v>7</v>
      </c>
      <c r="B33" s="8">
        <v>105140</v>
      </c>
      <c r="D33" t="str" cm="1">
        <f t="array" ref="D33:E51">A33:B51</f>
        <v>Madhya Pradesh</v>
      </c>
      <c r="E33" s="8">
        <v>105140</v>
      </c>
      <c r="G33" t="s">
        <v>883</v>
      </c>
      <c r="H33" s="15">
        <v>8.0278165317071062E-2</v>
      </c>
    </row>
    <row r="34" spans="1:9" x14ac:dyDescent="0.35">
      <c r="A34" s="14" t="s">
        <v>193</v>
      </c>
      <c r="B34" s="8">
        <v>95348</v>
      </c>
      <c r="D34" t="str">
        <v>Maharashtra</v>
      </c>
      <c r="E34" s="8">
        <v>95348</v>
      </c>
      <c r="G34" t="s">
        <v>893</v>
      </c>
      <c r="H34" s="15">
        <v>6.3497249904699668E-2</v>
      </c>
    </row>
    <row r="35" spans="1:9" x14ac:dyDescent="0.35">
      <c r="A35" s="14" t="s">
        <v>174</v>
      </c>
      <c r="B35" s="8">
        <v>22531</v>
      </c>
      <c r="D35" t="str">
        <v>Delhi</v>
      </c>
      <c r="E35" s="8">
        <v>22531</v>
      </c>
      <c r="G35" t="s">
        <v>898</v>
      </c>
      <c r="H35" s="15">
        <v>1.8068736682366075E-2</v>
      </c>
    </row>
    <row r="36" spans="1:9" x14ac:dyDescent="0.35">
      <c r="A36" s="14" t="s">
        <v>377</v>
      </c>
      <c r="B36" s="8">
        <v>22359</v>
      </c>
      <c r="D36" t="str">
        <v>Uttar Pradesh</v>
      </c>
      <c r="E36" s="8">
        <v>22359</v>
      </c>
    </row>
    <row r="37" spans="1:9" x14ac:dyDescent="0.35">
      <c r="A37" s="14" t="s">
        <v>357</v>
      </c>
      <c r="B37" s="8">
        <v>21149</v>
      </c>
      <c r="D37" t="str">
        <v>Rajasthan</v>
      </c>
      <c r="E37" s="8">
        <v>21149</v>
      </c>
    </row>
    <row r="38" spans="1:9" x14ac:dyDescent="0.35">
      <c r="A38" s="14" t="s">
        <v>353</v>
      </c>
      <c r="B38" s="8">
        <v>21058</v>
      </c>
      <c r="D38" t="str">
        <v>Gujarat</v>
      </c>
      <c r="E38" s="8">
        <v>21058</v>
      </c>
      <c r="G38" s="7" t="s">
        <v>910</v>
      </c>
      <c r="H38" s="17" t="s">
        <v>903</v>
      </c>
      <c r="I38" t="s">
        <v>905</v>
      </c>
    </row>
    <row r="39" spans="1:9" x14ac:dyDescent="0.35">
      <c r="A39" s="14" t="s">
        <v>388</v>
      </c>
      <c r="B39" s="8">
        <v>16786</v>
      </c>
      <c r="D39" t="str">
        <v>Punjab</v>
      </c>
      <c r="E39" s="8">
        <v>16786</v>
      </c>
      <c r="G39" s="14" t="s">
        <v>930</v>
      </c>
      <c r="H39" s="8">
        <v>61439</v>
      </c>
      <c r="I39" s="4">
        <v>745</v>
      </c>
    </row>
    <row r="40" spans="1:9" x14ac:dyDescent="0.35">
      <c r="A40" s="14" t="s">
        <v>365</v>
      </c>
      <c r="B40" s="8">
        <v>15058</v>
      </c>
      <c r="D40" t="str">
        <v>Karnataka</v>
      </c>
      <c r="E40" s="8">
        <v>15058</v>
      </c>
      <c r="G40" s="14" t="s">
        <v>931</v>
      </c>
      <c r="H40" s="8">
        <v>38424</v>
      </c>
      <c r="I40" s="4">
        <v>512</v>
      </c>
    </row>
    <row r="41" spans="1:9" x14ac:dyDescent="0.35">
      <c r="A41" s="14" t="s">
        <v>361</v>
      </c>
      <c r="B41" s="8">
        <v>14086</v>
      </c>
      <c r="D41" t="str">
        <v>West Bengal</v>
      </c>
      <c r="E41" s="8">
        <v>14086</v>
      </c>
      <c r="G41" s="14" t="s">
        <v>932</v>
      </c>
      <c r="H41" s="8">
        <v>58937</v>
      </c>
      <c r="I41" s="4">
        <v>751</v>
      </c>
    </row>
    <row r="42" spans="1:9" x14ac:dyDescent="0.35">
      <c r="A42" s="14" t="s">
        <v>384</v>
      </c>
      <c r="B42" s="8">
        <v>13459</v>
      </c>
      <c r="D42" t="str">
        <v>Kerala</v>
      </c>
      <c r="E42" s="8">
        <v>13459</v>
      </c>
      <c r="G42" s="14" t="s">
        <v>917</v>
      </c>
      <c r="H42" s="8">
        <v>32726</v>
      </c>
      <c r="I42" s="4">
        <v>389</v>
      </c>
    </row>
    <row r="43" spans="1:9" x14ac:dyDescent="0.35">
      <c r="A43" s="14" t="s">
        <v>410</v>
      </c>
      <c r="B43" s="8">
        <v>13256</v>
      </c>
      <c r="D43" t="str">
        <v>Andhra Pradesh</v>
      </c>
      <c r="E43" s="8">
        <v>13256</v>
      </c>
      <c r="G43" s="14" t="s">
        <v>918</v>
      </c>
      <c r="H43" s="8">
        <v>28545</v>
      </c>
      <c r="I43" s="4">
        <v>423</v>
      </c>
    </row>
    <row r="44" spans="1:9" x14ac:dyDescent="0.35">
      <c r="A44" s="14" t="s">
        <v>380</v>
      </c>
      <c r="B44" s="8">
        <v>12943</v>
      </c>
      <c r="D44" t="str">
        <v>Bihar</v>
      </c>
      <c r="E44" s="8">
        <v>12943</v>
      </c>
      <c r="G44" s="14" t="s">
        <v>919</v>
      </c>
      <c r="H44" s="8">
        <v>23658</v>
      </c>
      <c r="I44" s="4">
        <v>369</v>
      </c>
    </row>
    <row r="45" spans="1:9" x14ac:dyDescent="0.35">
      <c r="A45" s="14" t="s">
        <v>406</v>
      </c>
      <c r="B45" s="8">
        <v>11903</v>
      </c>
      <c r="D45" t="str">
        <v>Nagaland</v>
      </c>
      <c r="E45" s="8">
        <v>11903</v>
      </c>
      <c r="G45" s="14" t="s">
        <v>921</v>
      </c>
      <c r="H45" s="8">
        <v>12966</v>
      </c>
      <c r="I45" s="4">
        <v>240</v>
      </c>
    </row>
    <row r="46" spans="1:9" x14ac:dyDescent="0.35">
      <c r="A46" s="14" t="s">
        <v>369</v>
      </c>
      <c r="B46" s="8">
        <v>10829</v>
      </c>
      <c r="D46" t="str">
        <v>Jammu and Kashmir</v>
      </c>
      <c r="E46" s="8">
        <v>10829</v>
      </c>
      <c r="G46" s="14" t="s">
        <v>922</v>
      </c>
      <c r="H46" s="8">
        <v>30899</v>
      </c>
      <c r="I46" s="4">
        <v>446</v>
      </c>
    </row>
    <row r="47" spans="1:9" x14ac:dyDescent="0.35">
      <c r="A47" s="14" t="s">
        <v>392</v>
      </c>
      <c r="B47" s="8">
        <v>8863</v>
      </c>
      <c r="D47" t="str">
        <v>Haryana</v>
      </c>
      <c r="E47" s="8">
        <v>8863</v>
      </c>
      <c r="G47" s="14" t="s">
        <v>923</v>
      </c>
      <c r="H47" s="8">
        <v>26628</v>
      </c>
      <c r="I47" s="4">
        <v>331</v>
      </c>
    </row>
    <row r="48" spans="1:9" x14ac:dyDescent="0.35">
      <c r="A48" s="14" t="s">
        <v>395</v>
      </c>
      <c r="B48" s="8">
        <v>8666</v>
      </c>
      <c r="D48" t="str">
        <v>Himachal Pradesh</v>
      </c>
      <c r="E48" s="8">
        <v>8666</v>
      </c>
      <c r="G48" s="14" t="s">
        <v>925</v>
      </c>
      <c r="H48" s="8">
        <v>31615</v>
      </c>
      <c r="I48" s="4">
        <v>419</v>
      </c>
    </row>
    <row r="49" spans="1:9" x14ac:dyDescent="0.35">
      <c r="A49" s="14" t="s">
        <v>403</v>
      </c>
      <c r="B49" s="8">
        <v>6705</v>
      </c>
      <c r="D49" t="str">
        <v>Goa</v>
      </c>
      <c r="E49" s="8">
        <v>6705</v>
      </c>
      <c r="G49" s="14" t="s">
        <v>926</v>
      </c>
      <c r="H49" s="8">
        <v>48086</v>
      </c>
      <c r="I49" s="4">
        <v>578</v>
      </c>
    </row>
    <row r="50" spans="1:9" x14ac:dyDescent="0.35">
      <c r="A50" s="14" t="s">
        <v>373</v>
      </c>
      <c r="B50" s="8">
        <v>6087</v>
      </c>
      <c r="D50" t="str">
        <v>Tamil Nadu</v>
      </c>
      <c r="E50" s="8">
        <v>6087</v>
      </c>
      <c r="G50" s="14" t="s">
        <v>927</v>
      </c>
      <c r="H50" s="8">
        <v>37579</v>
      </c>
      <c r="I50" s="4">
        <v>412</v>
      </c>
    </row>
    <row r="51" spans="1:9" x14ac:dyDescent="0.35">
      <c r="A51" s="14" t="s">
        <v>399</v>
      </c>
      <c r="B51" s="8">
        <v>5276</v>
      </c>
      <c r="D51" t="str">
        <v>Sikkim</v>
      </c>
      <c r="E51" s="8">
        <v>5276</v>
      </c>
    </row>
    <row r="55" spans="1:9" x14ac:dyDescent="0.35">
      <c r="A55" s="7" t="s">
        <v>910</v>
      </c>
      <c r="B55" t="s">
        <v>906</v>
      </c>
      <c r="D55" s="3" t="s">
        <v>910</v>
      </c>
      <c r="E55" s="3" t="s">
        <v>906</v>
      </c>
    </row>
    <row r="56" spans="1:9" x14ac:dyDescent="0.35">
      <c r="A56" s="14" t="s">
        <v>361</v>
      </c>
      <c r="B56" s="15">
        <v>0.17748118699417861</v>
      </c>
      <c r="D56" t="str" cm="1">
        <f t="array" ref="D56:E65">A56:B65</f>
        <v>West Bengal</v>
      </c>
      <c r="E56" s="15">
        <v>0.17748118699417861</v>
      </c>
    </row>
    <row r="57" spans="1:9" x14ac:dyDescent="0.35">
      <c r="A57" s="14" t="s">
        <v>392</v>
      </c>
      <c r="B57" s="15">
        <v>0.14949791267065327</v>
      </c>
      <c r="D57" t="str">
        <v>Haryana</v>
      </c>
      <c r="E57" s="15">
        <v>0.14949791267065327</v>
      </c>
    </row>
    <row r="58" spans="1:9" x14ac:dyDescent="0.35">
      <c r="A58" s="14" t="s">
        <v>377</v>
      </c>
      <c r="B58" s="15">
        <v>0.14477391654367369</v>
      </c>
      <c r="D58" t="str">
        <v>Uttar Pradesh</v>
      </c>
      <c r="E58" s="15">
        <v>0.14477391654367369</v>
      </c>
    </row>
    <row r="59" spans="1:9" x14ac:dyDescent="0.35">
      <c r="A59" s="14" t="s">
        <v>384</v>
      </c>
      <c r="B59" s="15">
        <v>0.1390147856452931</v>
      </c>
      <c r="D59" t="str">
        <v>Kerala</v>
      </c>
      <c r="E59" s="15">
        <v>0.1390147856452931</v>
      </c>
    </row>
    <row r="60" spans="1:9" x14ac:dyDescent="0.35">
      <c r="A60" s="14" t="s">
        <v>174</v>
      </c>
      <c r="B60" s="15">
        <v>0.13257289956060539</v>
      </c>
      <c r="D60" t="str">
        <v>Delhi</v>
      </c>
      <c r="E60" s="15">
        <v>0.13257289956060539</v>
      </c>
    </row>
    <row r="61" spans="1:9" x14ac:dyDescent="0.35">
      <c r="A61" s="14" t="s">
        <v>399</v>
      </c>
      <c r="B61" s="15">
        <v>7.6004548900682339E-2</v>
      </c>
      <c r="D61" t="str">
        <v>Sikkim</v>
      </c>
      <c r="E61" s="15">
        <v>7.6004548900682339E-2</v>
      </c>
    </row>
    <row r="62" spans="1:9" x14ac:dyDescent="0.35">
      <c r="A62" s="14" t="s">
        <v>395</v>
      </c>
      <c r="B62" s="15">
        <v>7.5698130625432722E-2</v>
      </c>
      <c r="D62" t="str">
        <v>Himachal Pradesh</v>
      </c>
      <c r="E62" s="15">
        <v>7.5698130625432722E-2</v>
      </c>
    </row>
    <row r="63" spans="1:9" x14ac:dyDescent="0.35">
      <c r="A63" s="14" t="s">
        <v>193</v>
      </c>
      <c r="B63" s="15">
        <v>6.4773251667575624E-2</v>
      </c>
      <c r="D63" t="str">
        <v>Maharashtra</v>
      </c>
      <c r="E63" s="15">
        <v>6.4773251667575624E-2</v>
      </c>
    </row>
    <row r="64" spans="1:9" x14ac:dyDescent="0.35">
      <c r="A64" s="14" t="s">
        <v>357</v>
      </c>
      <c r="B64" s="15">
        <v>5.9435434299494064E-2</v>
      </c>
      <c r="D64" t="str">
        <v>Rajasthan</v>
      </c>
      <c r="E64" s="15">
        <v>5.9435434299494064E-2</v>
      </c>
    </row>
    <row r="65" spans="1:9" x14ac:dyDescent="0.35">
      <c r="A65" s="14" t="s">
        <v>403</v>
      </c>
      <c r="B65" s="15">
        <v>5.5182699478001494E-2</v>
      </c>
      <c r="D65" t="str">
        <v>Goa</v>
      </c>
      <c r="E65" s="15">
        <v>5.5182699478001494E-2</v>
      </c>
    </row>
    <row r="66" spans="1:9" x14ac:dyDescent="0.35">
      <c r="A66" s="14" t="s">
        <v>7</v>
      </c>
      <c r="B66" s="15">
        <v>5.2796271637816243E-2</v>
      </c>
    </row>
    <row r="67" spans="1:9" x14ac:dyDescent="0.35">
      <c r="A67" s="14" t="s">
        <v>365</v>
      </c>
      <c r="B67" s="15">
        <v>4.283437375481472E-2</v>
      </c>
    </row>
    <row r="68" spans="1:9" x14ac:dyDescent="0.35">
      <c r="A68" s="14" t="s">
        <v>353</v>
      </c>
      <c r="B68" s="15">
        <v>2.2081869123373541E-2</v>
      </c>
    </row>
    <row r="69" spans="1:9" x14ac:dyDescent="0.35">
      <c r="A69" s="14" t="s">
        <v>406</v>
      </c>
      <c r="B69" s="15">
        <v>1.2433840208350836E-2</v>
      </c>
    </row>
    <row r="70" spans="1:9" x14ac:dyDescent="0.35">
      <c r="A70" s="14" t="s">
        <v>369</v>
      </c>
      <c r="B70" s="15">
        <v>7.3875704127804971E-4</v>
      </c>
    </row>
    <row r="71" spans="1:9" x14ac:dyDescent="0.35">
      <c r="A71" s="14" t="s">
        <v>380</v>
      </c>
      <c r="B71" s="15">
        <v>-2.4801050761029127E-2</v>
      </c>
    </row>
    <row r="72" spans="1:9" x14ac:dyDescent="0.35">
      <c r="A72" s="14" t="s">
        <v>388</v>
      </c>
      <c r="B72" s="15">
        <v>-3.6280233527939951E-2</v>
      </c>
    </row>
    <row r="73" spans="1:9" x14ac:dyDescent="0.35">
      <c r="A73" s="14" t="s">
        <v>410</v>
      </c>
      <c r="B73" s="15">
        <v>-3.7417018708509352E-2</v>
      </c>
    </row>
    <row r="74" spans="1:9" x14ac:dyDescent="0.35">
      <c r="A74" s="14" t="s">
        <v>373</v>
      </c>
      <c r="B74" s="15">
        <v>-0.36405454246755381</v>
      </c>
    </row>
    <row r="77" spans="1:9" x14ac:dyDescent="0.35">
      <c r="A77" s="7" t="s">
        <v>910</v>
      </c>
      <c r="B77" t="s">
        <v>903</v>
      </c>
    </row>
    <row r="78" spans="1:9" x14ac:dyDescent="0.35">
      <c r="A78" s="14" t="s">
        <v>895</v>
      </c>
      <c r="B78" s="8">
        <v>58252</v>
      </c>
      <c r="I78" s="10"/>
    </row>
    <row r="79" spans="1:9" x14ac:dyDescent="0.35">
      <c r="A79" s="14" t="s">
        <v>899</v>
      </c>
      <c r="B79" s="8">
        <v>56861</v>
      </c>
      <c r="I79" s="10"/>
    </row>
    <row r="80" spans="1:9" x14ac:dyDescent="0.35">
      <c r="A80" s="14" t="s">
        <v>884</v>
      </c>
      <c r="B80" s="8">
        <v>53511</v>
      </c>
      <c r="I80" s="10"/>
    </row>
    <row r="81" spans="1:2" x14ac:dyDescent="0.35">
      <c r="A81" s="14" t="s">
        <v>897</v>
      </c>
      <c r="B81" s="8">
        <v>46119</v>
      </c>
    </row>
    <row r="82" spans="1:2" x14ac:dyDescent="0.35">
      <c r="A82" s="14" t="s">
        <v>896</v>
      </c>
      <c r="B82" s="8">
        <v>39168</v>
      </c>
    </row>
    <row r="83" spans="1:2" x14ac:dyDescent="0.35">
      <c r="A83" s="14" t="s">
        <v>901</v>
      </c>
      <c r="B83" s="8">
        <v>34222</v>
      </c>
    </row>
    <row r="84" spans="1:2" x14ac:dyDescent="0.35">
      <c r="A84" s="14" t="s">
        <v>890</v>
      </c>
      <c r="B84" s="8">
        <v>30039</v>
      </c>
    </row>
    <row r="85" spans="1:2" x14ac:dyDescent="0.35">
      <c r="A85" s="14" t="s">
        <v>902</v>
      </c>
      <c r="B85" s="8">
        <v>22614</v>
      </c>
    </row>
    <row r="86" spans="1:2" x14ac:dyDescent="0.35">
      <c r="A86" s="14" t="s">
        <v>894</v>
      </c>
      <c r="B86" s="8">
        <v>21728</v>
      </c>
    </row>
    <row r="87" spans="1:2" x14ac:dyDescent="0.35">
      <c r="A87" s="14" t="s">
        <v>886</v>
      </c>
      <c r="B87" s="8">
        <v>18546</v>
      </c>
    </row>
    <row r="88" spans="1:2" x14ac:dyDescent="0.35">
      <c r="A88" s="14" t="s">
        <v>885</v>
      </c>
      <c r="B88" s="8">
        <v>14608</v>
      </c>
    </row>
    <row r="89" spans="1:2" x14ac:dyDescent="0.35">
      <c r="A89" s="14" t="s">
        <v>900</v>
      </c>
      <c r="B89" s="8">
        <v>13484</v>
      </c>
    </row>
    <row r="90" spans="1:2" x14ac:dyDescent="0.35">
      <c r="A90" s="14" t="s">
        <v>888</v>
      </c>
      <c r="B90" s="8">
        <v>7555</v>
      </c>
    </row>
    <row r="91" spans="1:2" x14ac:dyDescent="0.35">
      <c r="A91" s="14" t="s">
        <v>887</v>
      </c>
      <c r="B91" s="8">
        <v>7382</v>
      </c>
    </row>
    <row r="92" spans="1:2" x14ac:dyDescent="0.35">
      <c r="A92" s="14" t="s">
        <v>891</v>
      </c>
      <c r="B92" s="8">
        <v>3361</v>
      </c>
    </row>
    <row r="93" spans="1:2" x14ac:dyDescent="0.35">
      <c r="A93" s="14" t="s">
        <v>892</v>
      </c>
      <c r="B93" s="8">
        <v>2106</v>
      </c>
    </row>
    <row r="94" spans="1:2" x14ac:dyDescent="0.35">
      <c r="A94" s="14" t="s">
        <v>889</v>
      </c>
      <c r="B94" s="8">
        <v>1946</v>
      </c>
    </row>
    <row r="98" spans="1:6" x14ac:dyDescent="0.35">
      <c r="A98" s="7" t="s">
        <v>910</v>
      </c>
      <c r="B98" t="s">
        <v>903</v>
      </c>
      <c r="E98" s="7" t="s">
        <v>910</v>
      </c>
      <c r="F98" t="s">
        <v>949</v>
      </c>
    </row>
    <row r="99" spans="1:6" x14ac:dyDescent="0.35">
      <c r="A99" s="14" t="s">
        <v>883</v>
      </c>
      <c r="B99" s="15">
        <v>0.32225574852491995</v>
      </c>
      <c r="E99" s="14" t="s">
        <v>883</v>
      </c>
      <c r="F99" s="4">
        <v>117</v>
      </c>
    </row>
    <row r="100" spans="1:6" x14ac:dyDescent="0.35">
      <c r="A100" s="14" t="s">
        <v>893</v>
      </c>
      <c r="B100" s="15">
        <v>0.38300401852135102</v>
      </c>
      <c r="E100" s="14" t="s">
        <v>893</v>
      </c>
      <c r="F100" s="4">
        <v>80</v>
      </c>
    </row>
    <row r="101" spans="1:6" x14ac:dyDescent="0.35">
      <c r="A101" s="14" t="s">
        <v>898</v>
      </c>
      <c r="B101" s="15">
        <v>0.29474023295372909</v>
      </c>
      <c r="E101" s="14" t="s">
        <v>898</v>
      </c>
      <c r="F101" s="4">
        <v>70</v>
      </c>
    </row>
    <row r="106" spans="1:6" x14ac:dyDescent="0.35">
      <c r="A106" s="7" t="s">
        <v>910</v>
      </c>
      <c r="B106" t="s">
        <v>948</v>
      </c>
      <c r="D106" s="3" t="s">
        <v>910</v>
      </c>
      <c r="E106" s="3" t="s">
        <v>948</v>
      </c>
    </row>
    <row r="107" spans="1:6" x14ac:dyDescent="0.35">
      <c r="A107" s="14" t="s">
        <v>8</v>
      </c>
      <c r="B107" s="8">
        <v>79069</v>
      </c>
      <c r="D107" t="str" cm="1">
        <f t="array" ref="D107:E111">A107:B111</f>
        <v>Indore</v>
      </c>
      <c r="E107" s="8">
        <v>79069</v>
      </c>
    </row>
    <row r="108" spans="1:6" x14ac:dyDescent="0.35">
      <c r="A108" s="14" t="s">
        <v>230</v>
      </c>
      <c r="B108" s="8">
        <v>61867</v>
      </c>
      <c r="D108" t="str">
        <v>Mumbai</v>
      </c>
      <c r="E108" s="8">
        <v>61867</v>
      </c>
    </row>
    <row r="109" spans="1:6" x14ac:dyDescent="0.35">
      <c r="A109" s="14" t="s">
        <v>194</v>
      </c>
      <c r="B109" s="8">
        <v>33481</v>
      </c>
      <c r="D109" t="str">
        <v>Pune</v>
      </c>
      <c r="E109" s="8">
        <v>33481</v>
      </c>
    </row>
    <row r="110" spans="1:6" x14ac:dyDescent="0.35">
      <c r="A110" s="14" t="s">
        <v>174</v>
      </c>
      <c r="B110" s="8">
        <v>25019</v>
      </c>
      <c r="D110" t="str">
        <v>Delhi</v>
      </c>
      <c r="E110" s="8">
        <v>25019</v>
      </c>
    </row>
    <row r="111" spans="1:6" x14ac:dyDescent="0.35">
      <c r="A111" s="14" t="s">
        <v>148</v>
      </c>
      <c r="B111" s="8">
        <v>23583</v>
      </c>
      <c r="D111" t="str">
        <v>Bhopal</v>
      </c>
      <c r="E111" s="8">
        <v>23583</v>
      </c>
    </row>
    <row r="118" spans="1:8" x14ac:dyDescent="0.35">
      <c r="D118" s="7" t="s">
        <v>910</v>
      </c>
      <c r="E118" t="s">
        <v>904</v>
      </c>
    </row>
    <row r="119" spans="1:8" x14ac:dyDescent="0.35">
      <c r="D119" s="14" t="s">
        <v>883</v>
      </c>
      <c r="E119" s="8">
        <v>11163</v>
      </c>
    </row>
    <row r="120" spans="1:8" x14ac:dyDescent="0.35">
      <c r="D120" s="14" t="s">
        <v>893</v>
      </c>
      <c r="E120" s="8">
        <v>10494</v>
      </c>
    </row>
    <row r="121" spans="1:8" x14ac:dyDescent="0.35">
      <c r="D121" s="14" t="s">
        <v>898</v>
      </c>
      <c r="E121" s="8">
        <v>2298</v>
      </c>
    </row>
    <row r="127" spans="1:8" x14ac:dyDescent="0.35">
      <c r="A127" s="7" t="s">
        <v>910</v>
      </c>
      <c r="B127" t="s">
        <v>906</v>
      </c>
      <c r="D127" t="s">
        <v>910</v>
      </c>
      <c r="E127" t="s">
        <v>951</v>
      </c>
      <c r="G127" t="s">
        <v>910</v>
      </c>
      <c r="H127" t="s">
        <v>906</v>
      </c>
    </row>
    <row r="128" spans="1:8" x14ac:dyDescent="0.35">
      <c r="A128" s="14" t="s">
        <v>655</v>
      </c>
      <c r="B128" s="5">
        <v>0.19698301113063854</v>
      </c>
      <c r="D128" t="s">
        <v>373</v>
      </c>
      <c r="E128" s="13">
        <v>-2216</v>
      </c>
      <c r="G128" t="s">
        <v>655</v>
      </c>
      <c r="H128" s="15">
        <v>0.19698301113063854</v>
      </c>
    </row>
    <row r="129" spans="1:8" x14ac:dyDescent="0.35">
      <c r="A129" s="14" t="s">
        <v>660</v>
      </c>
      <c r="B129" s="5">
        <v>0.1827727353621641</v>
      </c>
      <c r="D129" t="s">
        <v>388</v>
      </c>
      <c r="E129" s="13">
        <v>-609</v>
      </c>
      <c r="G129" t="s">
        <v>660</v>
      </c>
      <c r="H129" s="15">
        <v>0.1827727353621641</v>
      </c>
    </row>
    <row r="130" spans="1:8" x14ac:dyDescent="0.35">
      <c r="A130" s="14" t="s">
        <v>657</v>
      </c>
      <c r="B130" s="5">
        <v>0.18152262259550259</v>
      </c>
      <c r="D130" t="s">
        <v>410</v>
      </c>
      <c r="E130" s="13">
        <v>-496</v>
      </c>
      <c r="G130" t="s">
        <v>657</v>
      </c>
      <c r="H130" s="15">
        <v>0.18152262259550259</v>
      </c>
    </row>
    <row r="131" spans="1:8" x14ac:dyDescent="0.35">
      <c r="A131" s="14" t="s">
        <v>362</v>
      </c>
      <c r="B131" s="5">
        <v>0.17748118699417861</v>
      </c>
      <c r="D131" t="s">
        <v>380</v>
      </c>
      <c r="E131" s="13">
        <v>-321</v>
      </c>
      <c r="G131" t="s">
        <v>362</v>
      </c>
      <c r="H131" s="15">
        <v>0.17748118699417861</v>
      </c>
    </row>
    <row r="132" spans="1:8" x14ac:dyDescent="0.35">
      <c r="A132" s="14" t="s">
        <v>174</v>
      </c>
      <c r="B132" s="5">
        <v>0.14021343778728165</v>
      </c>
      <c r="D132" t="s">
        <v>369</v>
      </c>
      <c r="E132" s="13">
        <v>8</v>
      </c>
      <c r="G132" t="s">
        <v>174</v>
      </c>
      <c r="H132" s="15">
        <v>0.14021343778728165</v>
      </c>
    </row>
    <row r="133" spans="1:8" x14ac:dyDescent="0.35">
      <c r="A133" s="14" t="s">
        <v>385</v>
      </c>
      <c r="B133" s="5">
        <v>0.1390147856452931</v>
      </c>
      <c r="D133" t="s">
        <v>406</v>
      </c>
      <c r="E133" s="13">
        <v>148</v>
      </c>
      <c r="G133" t="s">
        <v>385</v>
      </c>
      <c r="H133" s="15">
        <v>0.1390147856452931</v>
      </c>
    </row>
    <row r="134" spans="1:8" x14ac:dyDescent="0.35">
      <c r="A134" s="14" t="s">
        <v>194</v>
      </c>
      <c r="B134" s="5">
        <v>0.1355694274364565</v>
      </c>
      <c r="D134" t="s">
        <v>403</v>
      </c>
      <c r="E134" s="13">
        <v>370</v>
      </c>
      <c r="G134" t="s">
        <v>194</v>
      </c>
      <c r="H134" s="15">
        <v>0.1355694274364565</v>
      </c>
    </row>
    <row r="135" spans="1:8" x14ac:dyDescent="0.35">
      <c r="A135" s="14" t="s">
        <v>663</v>
      </c>
      <c r="B135" s="5">
        <v>0.12070113157310849</v>
      </c>
      <c r="D135" t="s">
        <v>399</v>
      </c>
      <c r="E135" s="13">
        <v>401</v>
      </c>
      <c r="G135" t="s">
        <v>663</v>
      </c>
      <c r="H135" s="15">
        <v>0.12070113157310849</v>
      </c>
    </row>
    <row r="136" spans="1:8" x14ac:dyDescent="0.35">
      <c r="A136" s="14" t="s">
        <v>400</v>
      </c>
      <c r="B136" s="5">
        <v>7.6004548900682339E-2</v>
      </c>
      <c r="D136" t="s">
        <v>353</v>
      </c>
      <c r="E136" s="13">
        <v>465</v>
      </c>
      <c r="G136" t="s">
        <v>400</v>
      </c>
      <c r="H136" s="15">
        <v>7.6004548900682339E-2</v>
      </c>
    </row>
    <row r="137" spans="1:8" x14ac:dyDescent="0.35">
      <c r="A137" s="14" t="s">
        <v>396</v>
      </c>
      <c r="B137" s="5">
        <v>7.5698130625432722E-2</v>
      </c>
      <c r="D137" t="s">
        <v>365</v>
      </c>
      <c r="E137" s="13">
        <v>645</v>
      </c>
      <c r="G137" t="s">
        <v>396</v>
      </c>
      <c r="H137" s="15">
        <v>7.5698130625432722E-2</v>
      </c>
    </row>
    <row r="138" spans="1:8" x14ac:dyDescent="0.35">
      <c r="A138" s="14" t="s">
        <v>403</v>
      </c>
      <c r="B138" s="5">
        <v>5.5182699478001494E-2</v>
      </c>
      <c r="D138" t="s">
        <v>395</v>
      </c>
      <c r="E138" s="13">
        <v>656</v>
      </c>
      <c r="G138" t="s">
        <v>403</v>
      </c>
      <c r="H138" s="15">
        <v>5.5182699478001494E-2</v>
      </c>
    </row>
    <row r="139" spans="1:8" x14ac:dyDescent="0.35">
      <c r="A139" s="14" t="s">
        <v>8</v>
      </c>
      <c r="B139" s="5">
        <v>5.2599628172861679E-2</v>
      </c>
      <c r="D139" t="s">
        <v>357</v>
      </c>
      <c r="E139" s="13">
        <v>1257</v>
      </c>
      <c r="G139" t="s">
        <v>8</v>
      </c>
      <c r="H139" s="15">
        <v>5.2599628172861679E-2</v>
      </c>
    </row>
    <row r="140" spans="1:8" x14ac:dyDescent="0.35">
      <c r="A140" s="14" t="s">
        <v>366</v>
      </c>
      <c r="B140" s="5">
        <v>4.283437375481472E-2</v>
      </c>
      <c r="D140" t="s">
        <v>392</v>
      </c>
      <c r="E140" s="13">
        <v>1325</v>
      </c>
      <c r="G140" t="s">
        <v>366</v>
      </c>
      <c r="H140" s="15">
        <v>4.283437375481472E-2</v>
      </c>
    </row>
    <row r="141" spans="1:8" x14ac:dyDescent="0.35">
      <c r="A141" s="14" t="s">
        <v>148</v>
      </c>
      <c r="B141" s="5">
        <v>3.693338421744477E-2</v>
      </c>
      <c r="D141" t="s">
        <v>384</v>
      </c>
      <c r="E141" s="13">
        <v>1871</v>
      </c>
      <c r="G141" t="s">
        <v>148</v>
      </c>
      <c r="H141" s="15">
        <v>3.693338421744477E-2</v>
      </c>
    </row>
    <row r="142" spans="1:8" x14ac:dyDescent="0.35">
      <c r="A142" s="14" t="s">
        <v>378</v>
      </c>
      <c r="B142" s="5">
        <v>2.8353326063249727E-2</v>
      </c>
      <c r="D142" t="s">
        <v>361</v>
      </c>
      <c r="E142" s="13">
        <v>2500</v>
      </c>
      <c r="G142" t="s">
        <v>378</v>
      </c>
      <c r="H142" s="15">
        <v>2.8353326063249727E-2</v>
      </c>
    </row>
    <row r="143" spans="1:8" x14ac:dyDescent="0.35">
      <c r="A143" s="14" t="s">
        <v>230</v>
      </c>
      <c r="B143" s="5">
        <v>2.6459986745761069E-2</v>
      </c>
      <c r="D143" t="s">
        <v>174</v>
      </c>
      <c r="E143" s="13">
        <v>2987</v>
      </c>
      <c r="G143" t="s">
        <v>230</v>
      </c>
      <c r="H143" s="15">
        <v>2.6459986745761069E-2</v>
      </c>
    </row>
    <row r="144" spans="1:8" x14ac:dyDescent="0.35">
      <c r="A144" s="14" t="s">
        <v>407</v>
      </c>
      <c r="B144" s="5">
        <v>1.2433840208350836E-2</v>
      </c>
      <c r="D144" t="s">
        <v>377</v>
      </c>
      <c r="E144" s="13">
        <v>3237</v>
      </c>
      <c r="G144" t="s">
        <v>407</v>
      </c>
      <c r="H144" s="15">
        <v>1.2433840208350836E-2</v>
      </c>
    </row>
    <row r="145" spans="1:8" x14ac:dyDescent="0.35">
      <c r="A145" s="14" t="s">
        <v>389</v>
      </c>
      <c r="B145" s="5">
        <v>8.1354649512818088E-3</v>
      </c>
      <c r="D145" t="s">
        <v>7</v>
      </c>
      <c r="E145" s="13">
        <v>5551</v>
      </c>
      <c r="G145" t="s">
        <v>389</v>
      </c>
      <c r="H145" s="15">
        <v>8.1354649512818088E-3</v>
      </c>
    </row>
    <row r="146" spans="1:8" x14ac:dyDescent="0.35">
      <c r="A146" s="14" t="s">
        <v>370</v>
      </c>
      <c r="B146" s="5">
        <v>7.3875704127804971E-4</v>
      </c>
      <c r="D146" t="s">
        <v>193</v>
      </c>
      <c r="E146" s="13">
        <v>6176</v>
      </c>
      <c r="G146" t="s">
        <v>370</v>
      </c>
      <c r="H146" s="15">
        <v>7.3875704127804971E-4</v>
      </c>
    </row>
    <row r="147" spans="1:8" x14ac:dyDescent="0.35">
      <c r="A147" s="14" t="s">
        <v>381</v>
      </c>
      <c r="B147" s="5">
        <v>-2.4801050761029127E-2</v>
      </c>
      <c r="G147" t="s">
        <v>381</v>
      </c>
      <c r="H147" s="15">
        <v>-2.4801050761029127E-2</v>
      </c>
    </row>
    <row r="148" spans="1:8" x14ac:dyDescent="0.35">
      <c r="A148" s="14" t="s">
        <v>411</v>
      </c>
      <c r="B148" s="5">
        <v>-3.7417018708509352E-2</v>
      </c>
      <c r="G148" t="s">
        <v>411</v>
      </c>
      <c r="H148" s="15">
        <v>-3.7417018708509352E-2</v>
      </c>
    </row>
    <row r="149" spans="1:8" x14ac:dyDescent="0.35">
      <c r="A149" s="14" t="s">
        <v>354</v>
      </c>
      <c r="B149" s="5">
        <v>-6.1841180604356991E-2</v>
      </c>
      <c r="G149" t="s">
        <v>354</v>
      </c>
      <c r="H149" s="15">
        <v>-6.1841180604356991E-2</v>
      </c>
    </row>
    <row r="150" spans="1:8" x14ac:dyDescent="0.35">
      <c r="A150" s="14" t="s">
        <v>358</v>
      </c>
      <c r="B150" s="5">
        <v>-7.4732036522429532E-2</v>
      </c>
      <c r="G150" t="s">
        <v>358</v>
      </c>
      <c r="H150" s="15">
        <v>-7.4732036522429532E-2</v>
      </c>
    </row>
    <row r="151" spans="1:8" x14ac:dyDescent="0.35">
      <c r="A151" s="14" t="s">
        <v>374</v>
      </c>
      <c r="B151" s="5">
        <v>-0.36405454246755381</v>
      </c>
      <c r="G151" t="s">
        <v>374</v>
      </c>
      <c r="H151" s="15">
        <v>-0.36405454246755381</v>
      </c>
    </row>
  </sheetData>
  <pageMargins left="0.7" right="0.7" top="0.75" bottom="0.75" header="0.3" footer="0.3"/>
  <drawing r:id="rId14"/>
  <tableParts count="1">
    <tablePart r:id="rId1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1FD2-0576-4559-B84A-F64FFB3470C8}">
  <dimension ref="A33"/>
  <sheetViews>
    <sheetView tabSelected="1" zoomScale="63" zoomScaleNormal="100" workbookViewId="0">
      <selection activeCell="V17" sqref="V17"/>
    </sheetView>
  </sheetViews>
  <sheetFormatPr defaultRowHeight="14.5" x14ac:dyDescent="0.35"/>
  <cols>
    <col min="1" max="1" width="4.33203125" customWidth="1"/>
    <col min="2" max="2" width="12.5" customWidth="1"/>
    <col min="3" max="3" width="4.25" customWidth="1"/>
    <col min="19" max="19" width="5.08203125" customWidth="1"/>
  </cols>
  <sheetData>
    <row r="33" ht="19.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F2A48083-4D29-4D63-9CC6-528CB8AAB808}">
  <ds:schemaRefs/>
</ds:datastoreItem>
</file>

<file path=customXml/itemProps2.xml><?xml version="1.0" encoding="utf-8"?>
<ds:datastoreItem xmlns:ds="http://schemas.openxmlformats.org/officeDocument/2006/customXml" ds:itemID="{73972C10-985B-4EDC-A000-32290EF69830}">
  <ds:schemaRefs/>
</ds:datastoreItem>
</file>

<file path=customXml/itemProps3.xml><?xml version="1.0" encoding="utf-8"?>
<ds:datastoreItem xmlns:ds="http://schemas.openxmlformats.org/officeDocument/2006/customXml" ds:itemID="{DBE3BAD4-4CDF-4A92-A427-54868EDEDCCC}">
  <ds:schemaRefs/>
</ds:datastoreItem>
</file>

<file path=customXml/itemProps4.xml><?xml version="1.0" encoding="utf-8"?>
<ds:datastoreItem xmlns:ds="http://schemas.openxmlformats.org/officeDocument/2006/customXml" ds:itemID="{42984D36-F25C-4D70-84F2-0CFBA0AED074}">
  <ds:schemaRefs/>
</ds:datastoreItem>
</file>

<file path=customXml/itemProps5.xml><?xml version="1.0" encoding="utf-8"?>
<ds:datastoreItem xmlns:ds="http://schemas.openxmlformats.org/officeDocument/2006/customXml" ds:itemID="{3AC48E19-1734-4548-9AA2-89DA82F7B4D4}">
  <ds:schemaRefs/>
</ds:datastoreItem>
</file>

<file path=customXml/itemProps6.xml><?xml version="1.0" encoding="utf-8"?>
<ds:datastoreItem xmlns:ds="http://schemas.openxmlformats.org/officeDocument/2006/customXml" ds:itemID="{2D28CAC9-5C22-4849-8A5E-E925A729FB55}">
  <ds:schemaRefs/>
</ds:datastoreItem>
</file>

<file path=customXml/itemProps7.xml><?xml version="1.0" encoding="utf-8"?>
<ds:datastoreItem xmlns:ds="http://schemas.openxmlformats.org/officeDocument/2006/customXml" ds:itemID="{11188F50-CD7A-4028-9465-D0CBAD21D7AD}">
  <ds:schemaRefs/>
</ds:datastoreItem>
</file>

<file path=customXml/itemProps8.xml><?xml version="1.0" encoding="utf-8"?>
<ds:datastoreItem xmlns:ds="http://schemas.openxmlformats.org/officeDocument/2006/customXml" ds:itemID="{F013C82E-982A-4F07-9829-B10E8C5D133D}">
  <ds:schemaRefs/>
</ds:datastoreItem>
</file>

<file path=customXml/itemProps9.xml><?xml version="1.0" encoding="utf-8"?>
<ds:datastoreItem xmlns:ds="http://schemas.openxmlformats.org/officeDocument/2006/customXml" ds:itemID="{70170E61-9667-439D-93D4-CBEE8E61648D}">
  <ds:schemaRefs/>
</ds:datastoreItem>
</file>

<file path=customXml/itemProps10.xml><?xml version="1.0" encoding="utf-8"?>
<ds:datastoreItem xmlns:ds="http://schemas.openxmlformats.org/officeDocument/2006/customXml" ds:itemID="{F7510AFC-8517-4941-84FF-808D04FF7087}">
  <ds:schemaRefs/>
</ds:datastoreItem>
</file>

<file path=customXml/itemProps11.xml><?xml version="1.0" encoding="utf-8"?>
<ds:datastoreItem xmlns:ds="http://schemas.openxmlformats.org/officeDocument/2006/customXml" ds:itemID="{77EF494D-A6D6-4A11-9BAF-8F165CF26583}">
  <ds:schemaRefs/>
</ds:datastoreItem>
</file>

<file path=customXml/itemProps12.xml><?xml version="1.0" encoding="utf-8"?>
<ds:datastoreItem xmlns:ds="http://schemas.openxmlformats.org/officeDocument/2006/customXml" ds:itemID="{76EAC1C9-ECC0-4F1D-A583-234A456678A3}">
  <ds:schemaRefs/>
</ds:datastoreItem>
</file>

<file path=customXml/itemProps13.xml><?xml version="1.0" encoding="utf-8"?>
<ds:datastoreItem xmlns:ds="http://schemas.openxmlformats.org/officeDocument/2006/customXml" ds:itemID="{40DE1A2B-5971-4106-BAE2-BDB5F0D40AAC}">
  <ds:schemaRefs/>
</ds:datastoreItem>
</file>

<file path=customXml/itemProps14.xml><?xml version="1.0" encoding="utf-8"?>
<ds:datastoreItem xmlns:ds="http://schemas.openxmlformats.org/officeDocument/2006/customXml" ds:itemID="{27D769D6-792E-45FB-8CC3-A35B409A7C68}">
  <ds:schemaRefs>
    <ds:schemaRef ds:uri="http://schemas.microsoft.com/DataMashup"/>
  </ds:schemaRefs>
</ds:datastoreItem>
</file>

<file path=customXml/itemProps15.xml><?xml version="1.0" encoding="utf-8"?>
<ds:datastoreItem xmlns:ds="http://schemas.openxmlformats.org/officeDocument/2006/customXml" ds:itemID="{8DE355C0-1412-47F4-867A-D253C83571EB}">
  <ds:schemaRefs/>
</ds:datastoreItem>
</file>

<file path=customXml/itemProps16.xml><?xml version="1.0" encoding="utf-8"?>
<ds:datastoreItem xmlns:ds="http://schemas.openxmlformats.org/officeDocument/2006/customXml" ds:itemID="{C449DFA9-0EEC-4E8C-A348-68D49C82AA8B}">
  <ds:schemaRefs/>
</ds:datastoreItem>
</file>

<file path=customXml/itemProps17.xml><?xml version="1.0" encoding="utf-8"?>
<ds:datastoreItem xmlns:ds="http://schemas.openxmlformats.org/officeDocument/2006/customXml" ds:itemID="{90073D76-D3E2-4FED-BDCC-EECC55F3CBFF}">
  <ds:schemaRefs/>
</ds:datastoreItem>
</file>

<file path=customXml/itemProps18.xml><?xml version="1.0" encoding="utf-8"?>
<ds:datastoreItem xmlns:ds="http://schemas.openxmlformats.org/officeDocument/2006/customXml" ds:itemID="{EFDAC5FC-8BA8-40EE-AC06-B6688BE0F012}">
  <ds:schemaRefs/>
</ds:datastoreItem>
</file>

<file path=customXml/itemProps19.xml><?xml version="1.0" encoding="utf-8"?>
<ds:datastoreItem xmlns:ds="http://schemas.openxmlformats.org/officeDocument/2006/customXml" ds:itemID="{9A733ED8-6C1A-4D4E-8031-A6DBB76E44D2}">
  <ds:schemaRefs/>
</ds:datastoreItem>
</file>

<file path=customXml/itemProps20.xml><?xml version="1.0" encoding="utf-8"?>
<ds:datastoreItem xmlns:ds="http://schemas.openxmlformats.org/officeDocument/2006/customXml" ds:itemID="{BC9F9FB3-C87F-45D1-BBFE-B2E18012EFBE}">
  <ds:schemaRefs/>
</ds:datastoreItem>
</file>

<file path=customXml/itemProps21.xml><?xml version="1.0" encoding="utf-8"?>
<ds:datastoreItem xmlns:ds="http://schemas.openxmlformats.org/officeDocument/2006/customXml" ds:itemID="{6E63B40F-2E5D-433B-ACDE-84200A64F5DC}">
  <ds:schemaRefs/>
</ds:datastoreItem>
</file>

<file path=customXml/itemProps22.xml><?xml version="1.0" encoding="utf-8"?>
<ds:datastoreItem xmlns:ds="http://schemas.openxmlformats.org/officeDocument/2006/customXml" ds:itemID="{25773175-06AD-4B8F-85CB-8235839FBF7A}">
  <ds:schemaRefs/>
</ds:datastoreItem>
</file>

<file path=customXml/itemProps23.xml><?xml version="1.0" encoding="utf-8"?>
<ds:datastoreItem xmlns:ds="http://schemas.openxmlformats.org/officeDocument/2006/customXml" ds:itemID="{8D312B7D-C4F4-4E3D-97DB-0CC2A7E3D393}">
  <ds:schemaRefs/>
</ds:datastoreItem>
</file>

<file path=customXml/itemProps24.xml><?xml version="1.0" encoding="utf-8"?>
<ds:datastoreItem xmlns:ds="http://schemas.openxmlformats.org/officeDocument/2006/customXml" ds:itemID="{3534F83A-830D-4E9A-9F2F-1418980EF71D}">
  <ds:schemaRefs/>
</ds:datastoreItem>
</file>

<file path=customXml/itemProps25.xml><?xml version="1.0" encoding="utf-8"?>
<ds:datastoreItem xmlns:ds="http://schemas.openxmlformats.org/officeDocument/2006/customXml" ds:itemID="{72980A92-833C-4ACC-91DE-EDBC94E86BE2}">
  <ds:schemaRefs/>
</ds:datastoreItem>
</file>

<file path=customXml/itemProps26.xml><?xml version="1.0" encoding="utf-8"?>
<ds:datastoreItem xmlns:ds="http://schemas.openxmlformats.org/officeDocument/2006/customXml" ds:itemID="{E4B39C17-6099-491B-BB73-1792AE512365}">
  <ds:schemaRefs/>
</ds:datastoreItem>
</file>

<file path=customXml/itemProps27.xml><?xml version="1.0" encoding="utf-8"?>
<ds:datastoreItem xmlns:ds="http://schemas.openxmlformats.org/officeDocument/2006/customXml" ds:itemID="{4FF49838-4DDE-4B14-A05A-5CC122A28712}">
  <ds:schemaRefs/>
</ds:datastoreItem>
</file>

<file path=customXml/itemProps28.xml><?xml version="1.0" encoding="utf-8"?>
<ds:datastoreItem xmlns:ds="http://schemas.openxmlformats.org/officeDocument/2006/customXml" ds:itemID="{B64701BF-5581-46D7-B507-4EFBD4924765}">
  <ds:schemaRefs/>
</ds:datastoreItem>
</file>

<file path=customXml/itemProps29.xml><?xml version="1.0" encoding="utf-8"?>
<ds:datastoreItem xmlns:ds="http://schemas.openxmlformats.org/officeDocument/2006/customXml" ds:itemID="{FA13F0D1-0F2A-4DAC-9D8F-12E58E1A4CE1}">
  <ds:schemaRefs/>
</ds:datastoreItem>
</file>

<file path=customXml/itemProps30.xml><?xml version="1.0" encoding="utf-8"?>
<ds:datastoreItem xmlns:ds="http://schemas.openxmlformats.org/officeDocument/2006/customXml" ds:itemID="{6E3FFE8D-A1D2-4BAD-8924-2EA88233F6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Tables</vt:lpstr>
      <vt:lpstr>Order Details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THINKPAD</dc:creator>
  <cp:lastModifiedBy>Office</cp:lastModifiedBy>
  <dcterms:created xsi:type="dcterms:W3CDTF">2015-06-05T18:17:20Z</dcterms:created>
  <dcterms:modified xsi:type="dcterms:W3CDTF">2026-06-19T09:29:44Z</dcterms:modified>
</cp:coreProperties>
</file>